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Sheet1!$A$30:$Y$93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<sst xmlns="http://schemas.openxmlformats.org/spreadsheetml/2006/main" count="413" uniqueCount="83">
  <si>
    <t xml:space="preserve">STOCK SUMMARY</t>
  </si>
  <si>
    <t xml:space="preserve">Grower Code</t>
  </si>
  <si>
    <t xml:space="preserve">AA.0769</t>
  </si>
  <si>
    <t xml:space="preserve">Mark</t>
  </si>
  <si>
    <t xml:space="preserve">SAMBU</t>
  </si>
  <si>
    <t xml:space="preserve">Phone Number</t>
  </si>
  <si>
    <t xml:space="preserve">GRADE SUMMARY</t>
  </si>
  <si>
    <t xml:space="preserve">Weight(KGS)</t>
  </si>
  <si>
    <t xml:space="preserve">AA</t>
  </si>
  <si>
    <t xml:space="preserve">MH</t>
  </si>
  <si>
    <t xml:space="preserve">SB</t>
  </si>
  <si>
    <t xml:space="preserve">PB</t>
  </si>
  <si>
    <t xml:space="preserve">ML</t>
  </si>
  <si>
    <t xml:space="preserve"> </t>
  </si>
  <si>
    <t xml:space="preserve">AB</t>
  </si>
  <si>
    <t xml:space="preserve">NH</t>
  </si>
  <si>
    <t xml:space="preserve">C</t>
  </si>
  <si>
    <t xml:space="preserve">NL</t>
  </si>
  <si>
    <t xml:space="preserve">TT</t>
  </si>
  <si>
    <t xml:space="preserve">UG</t>
  </si>
  <si>
    <t xml:space="preserve">T</t>
  </si>
  <si>
    <t xml:space="preserve">UG1</t>
  </si>
  <si>
    <t xml:space="preserve">HE</t>
  </si>
  <si>
    <t xml:space="preserve">UG2</t>
  </si>
  <si>
    <t xml:space="preserve">E</t>
  </si>
  <si>
    <t xml:space="preserve">UG3</t>
  </si>
  <si>
    <t xml:space="preserve">WEIGHT (KGS)</t>
  </si>
  <si>
    <t xml:space="preserve">Total Weight Recieved</t>
  </si>
  <si>
    <t xml:space="preserve">Total Weight Sold</t>
  </si>
  <si>
    <t xml:space="preserve">Total Weight Pending</t>
  </si>
  <si>
    <t xml:space="preserve">Total Weight Catalogued</t>
  </si>
  <si>
    <t xml:space="preserve">RED OUTTURN</t>
  </si>
  <si>
    <t xml:space="preserve">COFFEE STILL AT MILLER</t>
  </si>
  <si>
    <t xml:space="preserve">OUTTURN</t>
  </si>
  <si>
    <t xml:space="preserve">COFFEE TYPE </t>
  </si>
  <si>
    <t xml:space="preserve">GRADE</t>
  </si>
  <si>
    <t xml:space="preserve">BAGS</t>
  </si>
  <si>
    <t xml:space="preserve">POCKETS</t>
  </si>
  <si>
    <t xml:space="preserve">WEIGHT(KGs)</t>
  </si>
  <si>
    <t xml:space="preserve">SALE NO</t>
  </si>
  <si>
    <t xml:space="preserve">SEASON</t>
  </si>
  <si>
    <t xml:space="preserve">CERTIFICATE</t>
  </si>
  <si>
    <t xml:space="preserve">MILL</t>
  </si>
  <si>
    <t xml:space="preserve">W/H</t>
  </si>
  <si>
    <t xml:space="preserve">PRICE</t>
  </si>
  <si>
    <t xml:space="preserve">BUYER</t>
  </si>
  <si>
    <t xml:space="preserve">STATUS</t>
  </si>
  <si>
    <t xml:space="preserve">01KM0023</t>
  </si>
  <si>
    <t xml:space="preserve">P1</t>
  </si>
  <si>
    <t xml:space="preserve">25/26</t>
  </si>
  <si>
    <t xml:space="preserve">KM</t>
  </si>
  <si>
    <t xml:space="preserve">PENDING</t>
  </si>
  <si>
    <t xml:space="preserve">AGL</t>
  </si>
  <si>
    <t xml:space="preserve">GLOBAL MARK FOODS LTD</t>
  </si>
  <si>
    <t xml:space="preserve">SOLD</t>
  </si>
  <si>
    <t xml:space="preserve">02KM0001</t>
  </si>
  <si>
    <t xml:space="preserve">LOUIS DREYFUS COMPANY</t>
  </si>
  <si>
    <t xml:space="preserve">TAYLOR WINCH (COFFEE) LIMITED</t>
  </si>
  <si>
    <t xml:space="preserve">MUMBI COFFEE MERCHANTS LIMITED</t>
  </si>
  <si>
    <t xml:space="preserve">IBERO KENYA LTD</t>
  </si>
  <si>
    <t xml:space="preserve">KENYACOF LIMITED</t>
  </si>
  <si>
    <t xml:space="preserve">02KM0008</t>
  </si>
  <si>
    <t xml:space="preserve">MB</t>
  </si>
  <si>
    <t xml:space="preserve">LOUIS DREYFUS COMAPNY</t>
  </si>
  <si>
    <t xml:space="preserve">03KM0005</t>
  </si>
  <si>
    <t xml:space="preserve">04KM0001</t>
  </si>
  <si>
    <t xml:space="preserve">MBUNI</t>
  </si>
  <si>
    <t xml:space="preserve">06KM0004</t>
  </si>
  <si>
    <t xml:space="preserve">SASINI (K) LIMITED</t>
  </si>
  <si>
    <t xml:space="preserve">06KM0009</t>
  </si>
  <si>
    <t xml:space="preserve">14KM0040</t>
  </si>
  <si>
    <t xml:space="preserve">SANAARK INVESTMENT LTD</t>
  </si>
  <si>
    <t xml:space="preserve">15KM0018</t>
  </si>
  <si>
    <t xml:space="preserve">18KM0014</t>
  </si>
  <si>
    <t xml:space="preserve">19KM0024</t>
  </si>
  <si>
    <t xml:space="preserve">31TK0004</t>
  </si>
  <si>
    <t xml:space="preserve">TK</t>
  </si>
  <si>
    <t xml:space="preserve">TAYLOR WINCH(COFFEE) LIMITED</t>
  </si>
  <si>
    <t xml:space="preserve">52KM0016</t>
  </si>
  <si>
    <t xml:space="preserve">24/25</t>
  </si>
  <si>
    <t xml:space="preserve">AFRICOFF TRADING LTD</t>
  </si>
  <si>
    <t xml:space="preserve">MOKAL COFFEE LTD</t>
  </si>
  <si>
    <t xml:space="preserve">52KM0026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</si>
</sst>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3"/>
      <color rgb="FFFFFFFF"/>
      <name val="Calibri"/>
      <family val="0"/>
      <charset val="1"/>
    </font>
    <font>
      <sz val="16"/>
      <color theme="1"/>
      <name val="Calibri"/>
      <family val="0"/>
      <charset val="1"/>
    </font>
    <font>
      <b val="true"/>
      <sz val="23"/>
      <color theme="1"/>
      <name val="Calibri"/>
      <family val="0"/>
      <charset val="1"/>
    </font>
    <font>
      <sz val="23"/>
      <color rgb="FF000000"/>
      <name val="&quot;Times New Roman&quot;"/>
      <family val="0"/>
      <charset val="1"/>
    </font>
    <font>
      <sz val="21"/>
      <color rgb="FF000000"/>
      <name val="&quot;Times New Roman&quot;"/>
      <family val="0"/>
      <charset val="1"/>
    </font>
    <font>
      <b val="true"/>
      <sz val="16"/>
      <color theme="1"/>
      <name val="Calibri"/>
      <family val="0"/>
      <charset val="1"/>
    </font>
    <font>
      <u val="single"/>
      <sz val="16"/>
      <color rgb="FF0563C1"/>
      <name val="Calibri"/>
      <family val="0"/>
      <charset val="1"/>
    </font>
    <font>
      <b val="true"/>
      <u val="single"/>
      <sz val="16"/>
      <color theme="9"/>
      <name val="Calibri"/>
      <family val="0"/>
      <charset val="1"/>
    </font>
    <font>
      <sz val="19"/>
      <color theme="1"/>
      <name val="Calibri"/>
      <family val="0"/>
      <charset val="1"/>
    </font>
    <font>
      <b val="true"/>
      <sz val="24"/>
      <color theme="0"/>
      <name val="Calibri"/>
      <family val="0"/>
      <charset val="1"/>
    </font>
    <font>
      <b val="true"/>
      <sz val="22"/>
      <color theme="1"/>
      <name val="Calibri"/>
      <family val="0"/>
      <charset val="1"/>
    </font>
    <font>
      <sz val="22"/>
      <color theme="1"/>
      <name val="Calibri"/>
      <family val="0"/>
      <charset val="1"/>
    </font>
    <font>
      <b val="true"/>
      <sz val="20"/>
      <color theme="1"/>
      <name val="Calibri"/>
      <family val="0"/>
      <charset val="1"/>
    </font>
    <font>
      <b val="true"/>
      <sz val="20"/>
      <color rgb="FF000000"/>
      <name val="Calibri"/>
      <family val="0"/>
      <charset val="1"/>
    </font>
    <font>
      <b val="true"/>
      <sz val="19"/>
      <color theme="1"/>
      <name val="Calibri"/>
      <family val="0"/>
      <charset val="1"/>
    </font>
    <font>
      <sz val="20"/>
      <color theme="1"/>
      <name val="Calibri"/>
      <family val="0"/>
      <charset val="1"/>
    </font>
    <font>
      <sz val="21"/>
      <color theme="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B78453"/>
        <bgColor rgb="FFC9A37D"/>
      </patternFill>
    </fill>
    <fill>
      <patternFill patternType="solid">
        <fgColor rgb="FFBFBFBF"/>
        <bgColor rgb="FF9FC5E8"/>
      </patternFill>
    </fill>
    <fill>
      <patternFill patternType="solid">
        <fgColor rgb="FFFFFFFF"/>
        <bgColor rgb="FFF2F2F2"/>
      </patternFill>
    </fill>
    <fill>
      <patternFill patternType="solid">
        <fgColor rgb="FFD8D8D8"/>
        <bgColor rgb="FFBFBFBF"/>
      </patternFill>
    </fill>
    <fill>
      <patternFill patternType="solid">
        <fgColor rgb="FFF2F2F2"/>
        <bgColor rgb="FFFFFFFF"/>
      </patternFill>
    </fill>
    <fill>
      <patternFill patternType="solid">
        <fgColor rgb="FF6AA84F"/>
        <bgColor rgb="FF70AD47"/>
      </patternFill>
    </fill>
    <fill>
      <patternFill patternType="solid">
        <fgColor rgb="FF93C47D"/>
        <bgColor rgb="FF70AD47"/>
      </patternFill>
    </fill>
    <fill>
      <patternFill patternType="solid">
        <fgColor theme="7"/>
        <bgColor rgb="FFFF9900"/>
      </patternFill>
    </fill>
    <fill>
      <patternFill patternType="solid">
        <fgColor rgb="FFFFD965"/>
        <bgColor rgb="FFFFFF99"/>
      </patternFill>
    </fill>
    <fill>
      <patternFill patternType="solid">
        <fgColor rgb="FF3D85C6"/>
        <bgColor rgb="FF666699"/>
      </patternFill>
    </fill>
    <fill>
      <patternFill patternType="solid">
        <fgColor rgb="FF9FC5E8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C9A37D"/>
        <bgColor rgb="FFB78453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/>
      <top style="medium">
        <color rgb="FFFFFFFF"/>
      </top>
      <bottom/>
      <diagonal/>
    </border>
    <border diagonalUp="false" diagonalDown="false">
      <left style="medium"/>
      <right style="medium"/>
      <top style="medium"/>
      <bottom style="medium">
        <color rgb="FFFFFFFF"/>
      </bottom>
      <diagonal/>
    </border>
    <border diagonalUp="false" diagonalDown="false">
      <left/>
      <right/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/>
      <diagonal/>
    </border>
    <border diagonalUp="false" diagonalDown="false">
      <left style="medium">
        <color rgb="FFFFFFFF"/>
      </left>
      <right style="medium"/>
      <top style="medium">
        <color rgb="FFFFFFFF"/>
      </top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>
        <color rgb="FFFFFFFF"/>
      </left>
      <right style="medium"/>
      <top/>
      <bottom style="medium">
        <color rgb="FFFFFFFF"/>
      </bottom>
      <diagonal/>
    </border>
    <border diagonalUp="false" diagonalDown="false">
      <left style="medium">
        <color rgb="FFFFFFFF"/>
      </left>
      <right style="medium"/>
      <top style="medium">
        <color rgb="FFFFFFFF"/>
      </top>
      <bottom style="medium">
        <color rgb="FFFFFFFF"/>
      </bottom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medium">
        <color rgb="FFFFFFFF"/>
      </left>
      <right style="medium"/>
      <top style="medium">
        <color rgb="FFFFFFFF"/>
      </top>
      <bottom style="medium"/>
      <diagonal/>
    </border>
    <border diagonalUp="false" diagonalDown="false">
      <left style="thick">
        <color rgb="FFFFFFFF"/>
      </left>
      <right/>
      <top style="thick">
        <color rgb="FFFFFFFF"/>
      </top>
      <bottom/>
      <diagonal/>
    </border>
    <border diagonalUp="false" diagonalDown="false">
      <left style="medium">
        <color rgb="FFFFFFFF"/>
      </left>
      <right/>
      <top/>
      <bottom style="medium">
        <color rgb="FFFFFFFF"/>
      </bottom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7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1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3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4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9A37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B78453"/>
      <rgbColor rgb="FF93C47D"/>
      <rgbColor rgb="FF993366"/>
      <rgbColor rgb="FFF2F2F2"/>
      <rgbColor rgb="FFCCFFFF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D965"/>
      <rgbColor rgb="FF3D85C6"/>
      <rgbColor rgb="FF33CCCC"/>
      <rgbColor rgb="FF70AD47"/>
      <rgbColor rgb="FFFFC000"/>
      <rgbColor rgb="FFFF9900"/>
      <rgbColor rgb="FFFF6600"/>
      <rgbColor rgb="FF666699"/>
      <rgbColor rgb="FFC9A3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900720</xdr:colOff>
      <xdr:row>0</xdr:row>
      <xdr:rowOff>138600</xdr:rowOff>
    </xdr:from>
    <xdr:to>
      <xdr:col>11</xdr:col>
      <xdr:colOff>569520</xdr:colOff>
      <xdr:row>10</xdr:row>
      <xdr:rowOff>129600</xdr:rowOff>
    </xdr:to>
    <xdr:pic>
      <xdr:nvPicPr>
        <xdr:cNvPr id="1" name="image1.jpg" descr=""/>
        <xdr:cNvPicPr/>
      </xdr:nvPicPr>
      <xdr:blipFill>
        <a:blip r:embed="rId1"/>
        <a:stretch/>
      </xdr:blipFill>
      <xdr:spPr>
        <a:xfrm>
          <a:off x="9238320" y="138600"/>
          <a:ext cx="11117880" cy="275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54"/>
  <sheetViews>
    <sheetView showFormulas="false" showGridLines="true" showRowColHeaders="true" showZeros="true" rightToLeft="false" tabSelected="true" showOutlineSymbols="true" defaultGridColor="true" view="normal" topLeftCell="A49" colorId="64" zoomScale="55" zoomScaleNormal="55" zoomScalePageLayoutView="100" workbookViewId="0">
      <selection pane="topLeft" activeCell="N69" activeCellId="0" sqref="N6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39.85"/>
    <col collapsed="false" customWidth="true" hidden="false" outlineLevel="0" max="2" min="2" style="0" width="52.29"/>
    <col collapsed="false" customWidth="true" hidden="false" outlineLevel="0" max="3" min="3" style="0" width="26.15"/>
    <col collapsed="false" customWidth="true" hidden="false" outlineLevel="0" max="4" min="4" style="0" width="19.86"/>
    <col collapsed="false" customWidth="true" hidden="false" outlineLevel="0" max="5" min="5" style="0" width="21.14"/>
    <col collapsed="false" customWidth="true" hidden="false" outlineLevel="0" max="6" min="6" style="0" width="27"/>
    <col collapsed="false" customWidth="true" hidden="false" outlineLevel="0" max="7" min="7" style="0" width="15.14"/>
    <col collapsed="false" customWidth="true" hidden="false" outlineLevel="0" max="8" min="8" style="0" width="25.29"/>
    <col collapsed="false" customWidth="true" hidden="false" outlineLevel="0" max="9" min="9" style="0" width="23.14"/>
    <col collapsed="false" customWidth="true" hidden="false" outlineLevel="0" max="10" min="10" style="0" width="13.71"/>
    <col collapsed="false" customWidth="true" hidden="false" outlineLevel="0" max="11" min="11" style="0" width="17.15"/>
    <col collapsed="false" customWidth="true" hidden="false" outlineLevel="0" max="12" min="12" style="0" width="14.57"/>
    <col collapsed="false" customWidth="true" hidden="false" outlineLevel="0" max="13" min="13" style="0" width="61.15"/>
    <col collapsed="false" customWidth="true" hidden="false" outlineLevel="0" max="14" min="14" style="0" width="53.29"/>
    <col collapsed="false" customWidth="true" hidden="false" outlineLevel="0" max="25" min="15" style="0" width="8.71"/>
  </cols>
  <sheetData>
    <row r="1" customFormat="false" ht="31.5" hidden="false" customHeight="true" outlineLevel="0" collapsed="false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5"/>
      <c r="Y1" s="5"/>
    </row>
    <row r="2" customFormat="false" ht="26.25" hidden="false" customHeight="true" outlineLevel="0" collapsed="false">
      <c r="A2" s="6" t="s">
        <v>1</v>
      </c>
      <c r="B2" s="7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5"/>
      <c r="Y2" s="5"/>
    </row>
    <row r="3" customFormat="false" ht="41.25" hidden="false" customHeight="true" outlineLevel="0" collapsed="false">
      <c r="A3" s="8" t="s">
        <v>3</v>
      </c>
      <c r="B3" s="9" t="s">
        <v>4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5"/>
      <c r="Y3" s="5"/>
    </row>
    <row r="4" customFormat="false" ht="27" hidden="false" customHeight="true" outlineLevel="0" collapsed="false">
      <c r="A4" s="10" t="s">
        <v>5</v>
      </c>
      <c r="B4" s="1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5"/>
      <c r="Y4" s="5"/>
    </row>
    <row r="5" customFormat="false" ht="17.25" hidden="false" customHeight="true" outlineLevel="0" collapsed="false">
      <c r="A5" s="12"/>
      <c r="B5" s="12"/>
      <c r="C5" s="1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5"/>
      <c r="Y5" s="5"/>
    </row>
    <row r="6" customFormat="false" ht="17.25" hidden="false" customHeight="true" outlineLevel="0" collapsed="false">
      <c r="A6" s="13"/>
      <c r="B6" s="13"/>
      <c r="C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4.25" hidden="false" customHeight="true" outlineLevel="0" collapsed="false">
      <c r="A7" s="13"/>
      <c r="B7" s="13"/>
      <c r="C7" s="1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4.25" hidden="false" customHeight="true" outlineLevel="0" collapsed="false">
      <c r="A8" s="13"/>
      <c r="B8" s="13"/>
      <c r="C8" s="1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4.25" hidden="false" customHeight="true" outlineLevel="0" collapsed="false">
      <c r="A9" s="13"/>
      <c r="B9" s="13"/>
      <c r="C9" s="1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4.25" hidden="false" customHeight="true" outlineLevel="0" collapsed="false">
      <c r="A10" s="15"/>
      <c r="B10" s="16"/>
      <c r="C10" s="1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4.25" hidden="false" customHeight="true" outlineLevel="0" collapsed="false">
      <c r="A11" s="15"/>
      <c r="B11" s="17"/>
      <c r="C11" s="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4.25" hidden="false" customHeight="true" outlineLevel="0" collapsed="false">
      <c r="A12" s="15"/>
      <c r="B12" s="17"/>
      <c r="C12" s="13"/>
      <c r="D12" s="13"/>
      <c r="E12" s="18"/>
      <c r="F12" s="18"/>
      <c r="G12" s="18"/>
      <c r="H12" s="18"/>
      <c r="I12" s="18"/>
      <c r="J12" s="18"/>
      <c r="K12" s="18"/>
      <c r="L12" s="18"/>
      <c r="M12" s="19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29.15" hidden="false" customHeight="false" outlineLevel="0" collapsed="false">
      <c r="A13" s="15"/>
      <c r="B13" s="13"/>
      <c r="C13" s="13"/>
      <c r="D13" s="3"/>
      <c r="E13" s="21" t="s">
        <v>6</v>
      </c>
      <c r="F13" s="21"/>
      <c r="G13" s="21"/>
      <c r="H13" s="21"/>
      <c r="I13" s="21"/>
      <c r="J13" s="21"/>
      <c r="K13" s="21"/>
      <c r="L13" s="21"/>
      <c r="M13" s="22"/>
      <c r="N13" s="23"/>
      <c r="O13" s="4"/>
      <c r="P13" s="4"/>
      <c r="Q13" s="4"/>
      <c r="R13" s="4"/>
      <c r="S13" s="4"/>
      <c r="T13" s="4"/>
      <c r="U13" s="4"/>
      <c r="V13" s="4"/>
      <c r="W13" s="4"/>
      <c r="X13" s="4"/>
      <c r="Y13" s="24"/>
    </row>
    <row r="14" customFormat="false" ht="26.8" hidden="false" customHeight="false" outlineLevel="0" collapsed="false">
      <c r="A14" s="15"/>
      <c r="B14" s="13"/>
      <c r="C14" s="13"/>
      <c r="D14" s="3"/>
      <c r="E14" s="25" t="s">
        <v>7</v>
      </c>
      <c r="F14" s="25"/>
      <c r="G14" s="26"/>
      <c r="H14" s="27" t="s">
        <v>7</v>
      </c>
      <c r="I14" s="27"/>
      <c r="J14" s="26"/>
      <c r="K14" s="28" t="s">
        <v>7</v>
      </c>
      <c r="L14" s="28"/>
      <c r="M14" s="22"/>
      <c r="N14" s="23"/>
      <c r="O14" s="4"/>
      <c r="P14" s="4"/>
      <c r="Q14" s="4"/>
      <c r="R14" s="4"/>
      <c r="S14" s="4"/>
      <c r="T14" s="4"/>
      <c r="U14" s="4"/>
      <c r="V14" s="4"/>
      <c r="W14" s="4"/>
      <c r="X14" s="4"/>
      <c r="Y14" s="24"/>
    </row>
    <row r="15" customFormat="false" ht="26.8" hidden="false" customHeight="false" outlineLevel="0" collapsed="false">
      <c r="A15" s="15"/>
      <c r="B15" s="17"/>
      <c r="C15" s="13"/>
      <c r="D15" s="3"/>
      <c r="E15" s="29" t="s">
        <v>8</v>
      </c>
      <c r="F15" s="30" t="n">
        <f aca="false">SUMIF($C$31:$C369, E15, $F$31:$F$369)</f>
        <v>4727</v>
      </c>
      <c r="G15" s="26"/>
      <c r="H15" s="31" t="s">
        <v>9</v>
      </c>
      <c r="I15" s="30" t="n">
        <f aca="false">SUMIF($C$31:$C369, H15, $F$31:$F$369)</f>
        <v>12995</v>
      </c>
      <c r="J15" s="26"/>
      <c r="K15" s="31" t="s">
        <v>10</v>
      </c>
      <c r="L15" s="32" t="n">
        <f aca="false">SUMIF($C$31:$C369, K15, $F$31:$F$369)</f>
        <v>0</v>
      </c>
      <c r="M15" s="22"/>
      <c r="N15" s="23"/>
      <c r="O15" s="4"/>
      <c r="P15" s="4"/>
      <c r="Q15" s="4"/>
      <c r="R15" s="4"/>
      <c r="S15" s="4"/>
      <c r="T15" s="4"/>
      <c r="U15" s="4"/>
      <c r="V15" s="4"/>
      <c r="W15" s="4"/>
      <c r="X15" s="4"/>
      <c r="Y15" s="24"/>
    </row>
    <row r="16" customFormat="false" ht="26.8" hidden="false" customHeight="false" outlineLevel="0" collapsed="false">
      <c r="A16" s="15"/>
      <c r="B16" s="17"/>
      <c r="C16" s="13"/>
      <c r="D16" s="3"/>
      <c r="E16" s="29" t="s">
        <v>11</v>
      </c>
      <c r="F16" s="30" t="n">
        <f aca="false">SUMIF($C$31:$C370, E16, $F$31:$F$369)</f>
        <v>1434</v>
      </c>
      <c r="G16" s="26"/>
      <c r="H16" s="31" t="s">
        <v>12</v>
      </c>
      <c r="I16" s="30" t="n">
        <f aca="false">SUMIF($C$31:$C370, H16, $F$31:$F$369)</f>
        <v>926</v>
      </c>
      <c r="J16" s="26"/>
      <c r="K16" s="33"/>
      <c r="L16" s="34"/>
      <c r="M16" s="22"/>
      <c r="N16" s="23" t="s">
        <v>13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24"/>
    </row>
    <row r="17" customFormat="false" ht="26.8" hidden="false" customHeight="false" outlineLevel="0" collapsed="false">
      <c r="A17" s="15"/>
      <c r="B17" s="17"/>
      <c r="C17" s="13"/>
      <c r="D17" s="3"/>
      <c r="E17" s="29" t="s">
        <v>14</v>
      </c>
      <c r="F17" s="30" t="n">
        <f aca="false">SUMIF($C$31:$C371, E17, $F$31:$F$369)</f>
        <v>10497</v>
      </c>
      <c r="G17" s="26"/>
      <c r="H17" s="31" t="s">
        <v>15</v>
      </c>
      <c r="I17" s="30" t="n">
        <f aca="false">SUMIF($C$31:$C371, H17, $F$31:$F$369)</f>
        <v>0</v>
      </c>
      <c r="J17" s="26"/>
      <c r="K17" s="35"/>
      <c r="L17" s="36"/>
      <c r="M17" s="22"/>
      <c r="N17" s="23"/>
      <c r="O17" s="4"/>
      <c r="P17" s="4"/>
      <c r="Q17" s="4"/>
      <c r="R17" s="4"/>
      <c r="S17" s="4"/>
      <c r="T17" s="4"/>
      <c r="U17" s="4"/>
      <c r="V17" s="4"/>
      <c r="W17" s="4"/>
      <c r="X17" s="4"/>
      <c r="Y17" s="24"/>
    </row>
    <row r="18" customFormat="false" ht="26.8" hidden="false" customHeight="false" outlineLevel="0" collapsed="false">
      <c r="A18" s="15"/>
      <c r="B18" s="17"/>
      <c r="C18" s="13"/>
      <c r="D18" s="3"/>
      <c r="E18" s="29" t="s">
        <v>16</v>
      </c>
      <c r="F18" s="30" t="n">
        <f aca="false">SUMIF($C$31:$C372, E18, $F$31:$F$369)</f>
        <v>3829</v>
      </c>
      <c r="G18" s="26"/>
      <c r="H18" s="31" t="s">
        <v>17</v>
      </c>
      <c r="I18" s="30" t="n">
        <f aca="false">SUMIF($C$31:$C372, H18, $F$31:$F$369)</f>
        <v>0</v>
      </c>
      <c r="J18" s="26"/>
      <c r="K18" s="35"/>
      <c r="L18" s="36"/>
      <c r="M18" s="22"/>
      <c r="N18" s="23"/>
      <c r="O18" s="4"/>
      <c r="P18" s="4"/>
      <c r="Q18" s="4"/>
      <c r="R18" s="4"/>
      <c r="S18" s="4"/>
      <c r="T18" s="4"/>
      <c r="U18" s="4"/>
      <c r="V18" s="4"/>
      <c r="W18" s="4"/>
      <c r="X18" s="4"/>
      <c r="Y18" s="24"/>
    </row>
    <row r="19" customFormat="false" ht="26.8" hidden="false" customHeight="false" outlineLevel="0" collapsed="false">
      <c r="A19" s="15"/>
      <c r="B19" s="17"/>
      <c r="C19" s="13"/>
      <c r="D19" s="3"/>
      <c r="E19" s="29" t="s">
        <v>18</v>
      </c>
      <c r="F19" s="30" t="n">
        <f aca="false">SUMIF($C$31:$C373, E19, $F$31:$F$369)</f>
        <v>646</v>
      </c>
      <c r="G19" s="26"/>
      <c r="H19" s="31" t="s">
        <v>19</v>
      </c>
      <c r="I19" s="30" t="n">
        <f aca="false">SUMIF($C$31:$C373, H19, $F$31:$F$369)</f>
        <v>0</v>
      </c>
      <c r="J19" s="26"/>
      <c r="K19" s="35"/>
      <c r="L19" s="36"/>
      <c r="M19" s="22"/>
      <c r="N19" s="23"/>
      <c r="O19" s="4"/>
      <c r="P19" s="4"/>
      <c r="Q19" s="4"/>
      <c r="R19" s="4"/>
      <c r="S19" s="4"/>
      <c r="T19" s="4"/>
      <c r="U19" s="4"/>
      <c r="V19" s="4"/>
      <c r="W19" s="4"/>
      <c r="X19" s="4"/>
      <c r="Y19" s="24"/>
    </row>
    <row r="20" customFormat="false" ht="26.8" hidden="false" customHeight="false" outlineLevel="0" collapsed="false">
      <c r="A20" s="15"/>
      <c r="B20" s="17"/>
      <c r="C20" s="13"/>
      <c r="D20" s="3"/>
      <c r="E20" s="29" t="s">
        <v>20</v>
      </c>
      <c r="F20" s="30" t="n">
        <f aca="false">SUMIF($C$31:$C374, E20, $F$31:$F$369)</f>
        <v>654</v>
      </c>
      <c r="G20" s="26"/>
      <c r="H20" s="31" t="s">
        <v>21</v>
      </c>
      <c r="I20" s="30" t="n">
        <f aca="false">SUMIF($C$31:$C374, H20, $F$31:$F$369)</f>
        <v>0</v>
      </c>
      <c r="J20" s="26"/>
      <c r="K20" s="35"/>
      <c r="L20" s="36"/>
      <c r="M20" s="22"/>
      <c r="N20" s="23"/>
      <c r="O20" s="4"/>
      <c r="P20" s="4"/>
      <c r="Q20" s="4"/>
      <c r="R20" s="4"/>
      <c r="S20" s="4"/>
      <c r="T20" s="4"/>
      <c r="U20" s="4"/>
      <c r="V20" s="4"/>
      <c r="W20" s="4"/>
      <c r="X20" s="4"/>
      <c r="Y20" s="24"/>
    </row>
    <row r="21" customFormat="false" ht="26.8" hidden="false" customHeight="false" outlineLevel="0" collapsed="false">
      <c r="A21" s="15"/>
      <c r="B21" s="17"/>
      <c r="C21" s="13"/>
      <c r="D21" s="3"/>
      <c r="E21" s="29" t="s">
        <v>22</v>
      </c>
      <c r="F21" s="30" t="n">
        <f aca="false">SUMIF($C$31:$C375, E21, $F$31:$F$369)</f>
        <v>0</v>
      </c>
      <c r="G21" s="26"/>
      <c r="H21" s="31" t="s">
        <v>23</v>
      </c>
      <c r="I21" s="30" t="n">
        <f aca="false">SUMIF($C$31:$C375, H21, $F$31:$F$369)</f>
        <v>0</v>
      </c>
      <c r="J21" s="26"/>
      <c r="K21" s="35"/>
      <c r="L21" s="36"/>
      <c r="M21" s="22"/>
      <c r="N21" s="23"/>
      <c r="O21" s="4"/>
      <c r="P21" s="4"/>
      <c r="Q21" s="4"/>
      <c r="R21" s="4"/>
      <c r="S21" s="4"/>
      <c r="T21" s="4"/>
      <c r="U21" s="4"/>
      <c r="V21" s="4"/>
      <c r="W21" s="4"/>
      <c r="X21" s="4"/>
      <c r="Y21" s="24"/>
    </row>
    <row r="22" customFormat="false" ht="26.8" hidden="false" customHeight="false" outlineLevel="0" collapsed="false">
      <c r="A22" s="37"/>
      <c r="B22" s="38"/>
      <c r="C22" s="13"/>
      <c r="D22" s="3"/>
      <c r="E22" s="39" t="s">
        <v>24</v>
      </c>
      <c r="F22" s="40" t="n">
        <f aca="false">SUMIF($C$31:$C376, E22, $F$31:$F$369)</f>
        <v>0</v>
      </c>
      <c r="G22" s="26"/>
      <c r="H22" s="41" t="s">
        <v>25</v>
      </c>
      <c r="I22" s="40" t="n">
        <f aca="false">SUMIF($C$31:$C376, H22, $F$31:$F$369)</f>
        <v>0</v>
      </c>
      <c r="J22" s="26"/>
      <c r="K22" s="42"/>
      <c r="L22" s="43"/>
      <c r="M22" s="22"/>
      <c r="N22" s="23"/>
      <c r="O22" s="4"/>
      <c r="P22" s="4"/>
      <c r="Q22" s="4"/>
      <c r="R22" s="4"/>
      <c r="S22" s="4"/>
      <c r="T22" s="4"/>
      <c r="U22" s="4"/>
      <c r="V22" s="4"/>
      <c r="W22" s="4"/>
      <c r="X22" s="4"/>
      <c r="Y22" s="24"/>
    </row>
    <row r="23" customFormat="false" ht="32.25" hidden="false" customHeight="true" outlineLevel="0" collapsed="false">
      <c r="A23" s="44"/>
      <c r="B23" s="45" t="s">
        <v>26</v>
      </c>
      <c r="C23" s="2"/>
      <c r="D23" s="13"/>
      <c r="E23" s="46"/>
      <c r="F23" s="46"/>
      <c r="G23" s="46"/>
      <c r="H23" s="46"/>
      <c r="I23" s="46"/>
      <c r="J23" s="46"/>
      <c r="K23" s="46"/>
      <c r="L23" s="46"/>
      <c r="M23" s="19"/>
      <c r="N23" s="47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24.45" hidden="false" customHeight="false" outlineLevel="0" collapsed="false">
      <c r="A24" s="48" t="s">
        <v>27</v>
      </c>
      <c r="B24" s="49" t="n">
        <f aca="false">SUM(F31:F369)</f>
        <v>35708</v>
      </c>
      <c r="C24" s="2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24.45" hidden="false" customHeight="false" outlineLevel="0" collapsed="false">
      <c r="A25" s="50" t="s">
        <v>28</v>
      </c>
      <c r="B25" s="51" t="n">
        <f aca="false">SUMIFS(F31:F369, N31:N369, "SOLD")</f>
        <v>32036</v>
      </c>
      <c r="C25" s="2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24.45" hidden="false" customHeight="false" outlineLevel="0" collapsed="false">
      <c r="A26" s="52" t="s">
        <v>29</v>
      </c>
      <c r="B26" s="53" t="n">
        <f aca="false">SUMIFS(F31:F369, N31:N369, "PENDING")</f>
        <v>3210</v>
      </c>
      <c r="C26" s="2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24.45" hidden="false" customHeight="false" outlineLevel="0" collapsed="false">
      <c r="A27" s="54" t="s">
        <v>30</v>
      </c>
      <c r="B27" s="55" t="n">
        <f aca="false">SUMIFS(F31:F369, N31:N369, "CATALOGUED")</f>
        <v>0</v>
      </c>
      <c r="C27" s="2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24.45" hidden="false" customHeight="false" outlineLevel="0" collapsed="false">
      <c r="A28" s="56" t="s">
        <v>31</v>
      </c>
      <c r="B28" s="57" t="s">
        <v>32</v>
      </c>
      <c r="C28" s="2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4.25" hidden="false" customHeight="true" outlineLevel="0" collapsed="false">
      <c r="A29" s="58"/>
      <c r="B29" s="5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60"/>
      <c r="N29" s="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60" hidden="false" customHeight="true" outlineLevel="0" collapsed="false">
      <c r="A30" s="61" t="s">
        <v>33</v>
      </c>
      <c r="B30" s="61" t="s">
        <v>34</v>
      </c>
      <c r="C30" s="61" t="s">
        <v>35</v>
      </c>
      <c r="D30" s="61" t="s">
        <v>36</v>
      </c>
      <c r="E30" s="61" t="s">
        <v>37</v>
      </c>
      <c r="F30" s="61" t="s">
        <v>38</v>
      </c>
      <c r="G30" s="61" t="s">
        <v>39</v>
      </c>
      <c r="H30" s="61" t="s">
        <v>40</v>
      </c>
      <c r="I30" s="61" t="s">
        <v>41</v>
      </c>
      <c r="J30" s="61" t="s">
        <v>42</v>
      </c>
      <c r="K30" s="61" t="s">
        <v>43</v>
      </c>
      <c r="L30" s="61" t="s">
        <v>44</v>
      </c>
      <c r="M30" s="61" t="s">
        <v>45</v>
      </c>
      <c r="N30" s="61" t="s">
        <v>46</v>
      </c>
      <c r="O30" s="62"/>
      <c r="P30" s="62"/>
      <c r="Q30" s="62"/>
      <c r="R30" s="62"/>
      <c r="S30" s="62"/>
      <c r="T30" s="62"/>
      <c r="U30" s="62"/>
      <c r="V30" s="62"/>
      <c r="W30" s="62"/>
      <c r="X30" s="63"/>
      <c r="Y30" s="63"/>
    </row>
    <row r="31" customFormat="false" ht="60" hidden="false" customHeight="true" outlineLevel="0" collapsed="false">
      <c r="A31" s="64" t="s">
        <v>47</v>
      </c>
      <c r="B31" s="64" t="s">
        <v>48</v>
      </c>
      <c r="C31" s="64" t="s">
        <v>14</v>
      </c>
      <c r="D31" s="64" t="n">
        <v>9</v>
      </c>
      <c r="E31" s="64" t="n">
        <v>55</v>
      </c>
      <c r="F31" s="64" t="n">
        <v>595</v>
      </c>
      <c r="G31" s="64"/>
      <c r="H31" s="64" t="s">
        <v>49</v>
      </c>
      <c r="I31" s="64"/>
      <c r="J31" s="64" t="s">
        <v>50</v>
      </c>
      <c r="K31" s="64"/>
      <c r="L31" s="64"/>
      <c r="M31" s="65"/>
      <c r="N31" s="64" t="s">
        <v>51</v>
      </c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8"/>
    </row>
    <row r="32" customFormat="false" ht="60" hidden="false" customHeight="true" outlineLevel="0" collapsed="false">
      <c r="A32" s="64" t="s">
        <v>47</v>
      </c>
      <c r="B32" s="64" t="s">
        <v>48</v>
      </c>
      <c r="C32" s="64" t="s">
        <v>8</v>
      </c>
      <c r="D32" s="64" t="n">
        <v>9</v>
      </c>
      <c r="E32" s="64" t="n">
        <v>61</v>
      </c>
      <c r="F32" s="64" t="n">
        <v>601</v>
      </c>
      <c r="G32" s="64"/>
      <c r="H32" s="64" t="s">
        <v>49</v>
      </c>
      <c r="I32" s="64"/>
      <c r="J32" s="64" t="s">
        <v>50</v>
      </c>
      <c r="K32" s="64"/>
      <c r="L32" s="64"/>
      <c r="M32" s="65"/>
      <c r="N32" s="64" t="s">
        <v>51</v>
      </c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8"/>
    </row>
    <row r="33" customFormat="false" ht="60" hidden="false" customHeight="true" outlineLevel="0" collapsed="false">
      <c r="A33" s="64" t="s">
        <v>47</v>
      </c>
      <c r="B33" s="64" t="s">
        <v>48</v>
      </c>
      <c r="C33" s="64" t="s">
        <v>16</v>
      </c>
      <c r="D33" s="64" t="n">
        <v>2</v>
      </c>
      <c r="E33" s="64" t="n">
        <v>17</v>
      </c>
      <c r="F33" s="64" t="n">
        <v>137</v>
      </c>
      <c r="G33" s="64"/>
      <c r="H33" s="64" t="s">
        <v>49</v>
      </c>
      <c r="I33" s="64"/>
      <c r="J33" s="64" t="s">
        <v>50</v>
      </c>
      <c r="K33" s="64"/>
      <c r="L33" s="64"/>
      <c r="M33" s="65"/>
      <c r="N33" s="64" t="s">
        <v>51</v>
      </c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1"/>
    </row>
    <row r="34" customFormat="false" ht="60" hidden="false" customHeight="true" outlineLevel="0" collapsed="false">
      <c r="A34" s="72" t="s">
        <v>47</v>
      </c>
      <c r="B34" s="72" t="s">
        <v>48</v>
      </c>
      <c r="C34" s="72" t="s">
        <v>20</v>
      </c>
      <c r="D34" s="72" t="n">
        <v>0</v>
      </c>
      <c r="E34" s="72" t="n">
        <v>46</v>
      </c>
      <c r="F34" s="72" t="n">
        <v>46</v>
      </c>
      <c r="G34" s="72" t="n">
        <v>5</v>
      </c>
      <c r="H34" s="72" t="s">
        <v>49</v>
      </c>
      <c r="I34" s="72"/>
      <c r="J34" s="72" t="s">
        <v>50</v>
      </c>
      <c r="K34" s="72" t="s">
        <v>52</v>
      </c>
      <c r="L34" s="72" t="n">
        <v>205</v>
      </c>
      <c r="M34" s="73" t="s">
        <v>53</v>
      </c>
      <c r="N34" s="72" t="s">
        <v>54</v>
      </c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8"/>
    </row>
    <row r="35" customFormat="false" ht="60" hidden="false" customHeight="true" outlineLevel="0" collapsed="false">
      <c r="A35" s="64" t="s">
        <v>47</v>
      </c>
      <c r="B35" s="64" t="s">
        <v>48</v>
      </c>
      <c r="C35" s="64" t="s">
        <v>18</v>
      </c>
      <c r="D35" s="64" t="n">
        <v>0</v>
      </c>
      <c r="E35" s="64" t="n">
        <v>68</v>
      </c>
      <c r="F35" s="64" t="n">
        <v>68</v>
      </c>
      <c r="G35" s="64"/>
      <c r="H35" s="64" t="s">
        <v>49</v>
      </c>
      <c r="I35" s="64"/>
      <c r="J35" s="64" t="s">
        <v>50</v>
      </c>
      <c r="K35" s="64"/>
      <c r="L35" s="64"/>
      <c r="M35" s="65"/>
      <c r="N35" s="64" t="s">
        <v>51</v>
      </c>
      <c r="O35" s="69"/>
      <c r="P35" s="70"/>
      <c r="Q35" s="70"/>
      <c r="R35" s="70"/>
      <c r="S35" s="70"/>
      <c r="T35" s="70"/>
      <c r="U35" s="70"/>
      <c r="V35" s="70"/>
      <c r="W35" s="70"/>
      <c r="X35" s="70"/>
      <c r="Y35" s="71"/>
    </row>
    <row r="36" customFormat="false" ht="60" hidden="false" customHeight="true" outlineLevel="0" collapsed="false">
      <c r="A36" s="72" t="s">
        <v>55</v>
      </c>
      <c r="B36" s="72" t="s">
        <v>48</v>
      </c>
      <c r="C36" s="72" t="s">
        <v>14</v>
      </c>
      <c r="D36" s="72" t="n">
        <v>22</v>
      </c>
      <c r="E36" s="72" t="n">
        <v>37</v>
      </c>
      <c r="F36" s="72" t="n">
        <v>1357</v>
      </c>
      <c r="G36" s="72" t="n">
        <v>4</v>
      </c>
      <c r="H36" s="72" t="s">
        <v>49</v>
      </c>
      <c r="I36" s="72"/>
      <c r="J36" s="72" t="s">
        <v>50</v>
      </c>
      <c r="K36" s="72" t="s">
        <v>52</v>
      </c>
      <c r="L36" s="72" t="n">
        <v>383</v>
      </c>
      <c r="M36" s="73" t="s">
        <v>56</v>
      </c>
      <c r="N36" s="72" t="s">
        <v>54</v>
      </c>
      <c r="O36" s="66"/>
      <c r="P36" s="67"/>
      <c r="Q36" s="67"/>
      <c r="R36" s="67"/>
      <c r="S36" s="67"/>
      <c r="T36" s="67"/>
      <c r="U36" s="67"/>
      <c r="V36" s="67"/>
      <c r="W36" s="67"/>
      <c r="X36" s="67"/>
      <c r="Y36" s="68"/>
    </row>
    <row r="37" customFormat="false" ht="60" hidden="false" customHeight="true" outlineLevel="0" collapsed="false">
      <c r="A37" s="72" t="s">
        <v>55</v>
      </c>
      <c r="B37" s="72" t="s">
        <v>48</v>
      </c>
      <c r="C37" s="72" t="s">
        <v>8</v>
      </c>
      <c r="D37" s="72" t="n">
        <v>21</v>
      </c>
      <c r="E37" s="72" t="n">
        <v>21</v>
      </c>
      <c r="F37" s="72" t="n">
        <v>1281</v>
      </c>
      <c r="G37" s="72" t="n">
        <v>4</v>
      </c>
      <c r="H37" s="72" t="s">
        <v>49</v>
      </c>
      <c r="I37" s="72"/>
      <c r="J37" s="72" t="s">
        <v>50</v>
      </c>
      <c r="K37" s="72" t="s">
        <v>52</v>
      </c>
      <c r="L37" s="72" t="n">
        <v>400</v>
      </c>
      <c r="M37" s="73" t="s">
        <v>57</v>
      </c>
      <c r="N37" s="72" t="s">
        <v>54</v>
      </c>
      <c r="O37" s="66"/>
      <c r="P37" s="67"/>
      <c r="Q37" s="67"/>
      <c r="R37" s="67"/>
      <c r="S37" s="67"/>
      <c r="T37" s="67"/>
      <c r="U37" s="67"/>
      <c r="V37" s="67"/>
      <c r="W37" s="67"/>
      <c r="X37" s="67"/>
      <c r="Y37" s="68"/>
    </row>
    <row r="38" customFormat="false" ht="60" hidden="false" customHeight="true" outlineLevel="0" collapsed="false">
      <c r="A38" s="72" t="s">
        <v>55</v>
      </c>
      <c r="B38" s="72" t="s">
        <v>48</v>
      </c>
      <c r="C38" s="72" t="s">
        <v>11</v>
      </c>
      <c r="D38" s="72" t="n">
        <v>5</v>
      </c>
      <c r="E38" s="72" t="n">
        <v>16</v>
      </c>
      <c r="F38" s="72" t="n">
        <v>316</v>
      </c>
      <c r="G38" s="72" t="n">
        <v>4</v>
      </c>
      <c r="H38" s="72" t="s">
        <v>49</v>
      </c>
      <c r="I38" s="72"/>
      <c r="J38" s="72" t="s">
        <v>50</v>
      </c>
      <c r="K38" s="72" t="s">
        <v>52</v>
      </c>
      <c r="L38" s="72" t="n">
        <v>394</v>
      </c>
      <c r="M38" s="73" t="s">
        <v>58</v>
      </c>
      <c r="N38" s="72" t="s">
        <v>54</v>
      </c>
      <c r="O38" s="69"/>
      <c r="P38" s="70"/>
      <c r="Q38" s="70"/>
      <c r="R38" s="70"/>
      <c r="S38" s="70"/>
      <c r="T38" s="70"/>
      <c r="U38" s="70"/>
      <c r="V38" s="70"/>
      <c r="W38" s="70"/>
      <c r="X38" s="70"/>
      <c r="Y38" s="71"/>
    </row>
    <row r="39" customFormat="false" ht="60" hidden="false" customHeight="true" outlineLevel="0" collapsed="false">
      <c r="A39" s="72" t="s">
        <v>55</v>
      </c>
      <c r="B39" s="72" t="s">
        <v>48</v>
      </c>
      <c r="C39" s="72" t="s">
        <v>16</v>
      </c>
      <c r="D39" s="72" t="n">
        <v>9</v>
      </c>
      <c r="E39" s="72" t="n">
        <v>47</v>
      </c>
      <c r="F39" s="72" t="n">
        <v>596</v>
      </c>
      <c r="G39" s="72" t="n">
        <v>4</v>
      </c>
      <c r="H39" s="72" t="s">
        <v>49</v>
      </c>
      <c r="I39" s="72"/>
      <c r="J39" s="72" t="s">
        <v>50</v>
      </c>
      <c r="K39" s="72" t="s">
        <v>52</v>
      </c>
      <c r="L39" s="72" t="n">
        <v>369</v>
      </c>
      <c r="M39" s="73" t="s">
        <v>59</v>
      </c>
      <c r="N39" s="72" t="s">
        <v>54</v>
      </c>
      <c r="O39" s="66"/>
      <c r="P39" s="67"/>
      <c r="Q39" s="67"/>
      <c r="R39" s="67"/>
      <c r="S39" s="67"/>
      <c r="T39" s="67"/>
      <c r="U39" s="67"/>
      <c r="V39" s="67"/>
      <c r="W39" s="67"/>
      <c r="X39" s="67"/>
      <c r="Y39" s="68"/>
    </row>
    <row r="40" customFormat="false" ht="60" hidden="false" customHeight="true" outlineLevel="0" collapsed="false">
      <c r="A40" s="72" t="s">
        <v>55</v>
      </c>
      <c r="B40" s="72" t="s">
        <v>48</v>
      </c>
      <c r="C40" s="72" t="s">
        <v>20</v>
      </c>
      <c r="D40" s="72" t="n">
        <v>1</v>
      </c>
      <c r="E40" s="72" t="n">
        <v>41</v>
      </c>
      <c r="F40" s="72" t="n">
        <v>101</v>
      </c>
      <c r="G40" s="72" t="n">
        <v>5</v>
      </c>
      <c r="H40" s="72" t="s">
        <v>49</v>
      </c>
      <c r="I40" s="72"/>
      <c r="J40" s="72" t="s">
        <v>50</v>
      </c>
      <c r="K40" s="72" t="s">
        <v>52</v>
      </c>
      <c r="L40" s="72" t="n">
        <v>205</v>
      </c>
      <c r="M40" s="73" t="s">
        <v>53</v>
      </c>
      <c r="N40" s="72" t="s">
        <v>54</v>
      </c>
      <c r="O40" s="69"/>
      <c r="P40" s="70"/>
      <c r="Q40" s="70"/>
      <c r="R40" s="70"/>
      <c r="S40" s="70"/>
      <c r="T40" s="70"/>
      <c r="U40" s="70"/>
      <c r="V40" s="70"/>
      <c r="W40" s="70"/>
      <c r="X40" s="70"/>
      <c r="Y40" s="71"/>
    </row>
    <row r="41" customFormat="false" ht="60" hidden="false" customHeight="true" outlineLevel="0" collapsed="false">
      <c r="A41" s="72" t="s">
        <v>55</v>
      </c>
      <c r="B41" s="72" t="s">
        <v>48</v>
      </c>
      <c r="C41" s="72" t="s">
        <v>18</v>
      </c>
      <c r="D41" s="72" t="n">
        <v>2</v>
      </c>
      <c r="E41" s="72" t="n">
        <v>20</v>
      </c>
      <c r="F41" s="72" t="n">
        <v>140</v>
      </c>
      <c r="G41" s="72" t="n">
        <v>5</v>
      </c>
      <c r="H41" s="72" t="s">
        <v>49</v>
      </c>
      <c r="I41" s="72"/>
      <c r="J41" s="72" t="s">
        <v>50</v>
      </c>
      <c r="K41" s="72" t="s">
        <v>52</v>
      </c>
      <c r="L41" s="72" t="n">
        <v>360</v>
      </c>
      <c r="M41" s="73" t="s">
        <v>60</v>
      </c>
      <c r="N41" s="72" t="s">
        <v>54</v>
      </c>
      <c r="O41" s="66"/>
      <c r="P41" s="67"/>
      <c r="Q41" s="67"/>
      <c r="R41" s="67"/>
      <c r="S41" s="67"/>
      <c r="T41" s="67"/>
      <c r="U41" s="67"/>
      <c r="V41" s="67"/>
      <c r="W41" s="67"/>
      <c r="X41" s="67"/>
      <c r="Y41" s="68"/>
    </row>
    <row r="42" customFormat="false" ht="60" hidden="false" customHeight="true" outlineLevel="0" collapsed="false">
      <c r="A42" s="72" t="s">
        <v>61</v>
      </c>
      <c r="B42" s="72" t="s">
        <v>62</v>
      </c>
      <c r="C42" s="72" t="s">
        <v>9</v>
      </c>
      <c r="D42" s="72" t="n">
        <v>2</v>
      </c>
      <c r="E42" s="72" t="n">
        <v>41</v>
      </c>
      <c r="F42" s="72" t="n">
        <v>161</v>
      </c>
      <c r="G42" s="72" t="n">
        <v>4</v>
      </c>
      <c r="H42" s="72" t="s">
        <v>49</v>
      </c>
      <c r="I42" s="72"/>
      <c r="J42" s="72" t="s">
        <v>50</v>
      </c>
      <c r="K42" s="72" t="s">
        <v>52</v>
      </c>
      <c r="L42" s="72" t="n">
        <v>293</v>
      </c>
      <c r="M42" s="73" t="s">
        <v>63</v>
      </c>
      <c r="N42" s="72" t="s">
        <v>54</v>
      </c>
      <c r="O42" s="66"/>
      <c r="P42" s="67"/>
      <c r="Q42" s="67"/>
      <c r="R42" s="67"/>
      <c r="S42" s="67"/>
      <c r="T42" s="67"/>
      <c r="U42" s="67"/>
      <c r="V42" s="67"/>
      <c r="W42" s="67"/>
      <c r="X42" s="67"/>
      <c r="Y42" s="68"/>
    </row>
    <row r="43" customFormat="false" ht="60" hidden="false" customHeight="true" outlineLevel="0" collapsed="false">
      <c r="A43" s="72" t="s">
        <v>61</v>
      </c>
      <c r="B43" s="72" t="s">
        <v>62</v>
      </c>
      <c r="C43" s="72" t="s">
        <v>12</v>
      </c>
      <c r="D43" s="72" t="n">
        <v>1</v>
      </c>
      <c r="E43" s="72" t="n">
        <v>0</v>
      </c>
      <c r="F43" s="72" t="n">
        <v>60</v>
      </c>
      <c r="G43" s="72" t="n">
        <v>5</v>
      </c>
      <c r="H43" s="72" t="s">
        <v>49</v>
      </c>
      <c r="I43" s="72"/>
      <c r="J43" s="72" t="s">
        <v>50</v>
      </c>
      <c r="K43" s="72" t="s">
        <v>52</v>
      </c>
      <c r="L43" s="72" t="n">
        <v>198</v>
      </c>
      <c r="M43" s="73" t="s">
        <v>53</v>
      </c>
      <c r="N43" s="72" t="s">
        <v>54</v>
      </c>
      <c r="O43" s="66"/>
      <c r="P43" s="67"/>
      <c r="Q43" s="67"/>
      <c r="R43" s="67"/>
      <c r="S43" s="67"/>
      <c r="T43" s="67"/>
      <c r="U43" s="67"/>
      <c r="V43" s="67"/>
      <c r="W43" s="67"/>
      <c r="X43" s="67"/>
      <c r="Y43" s="68"/>
    </row>
    <row r="44" customFormat="false" ht="60" hidden="false" customHeight="true" outlineLevel="0" collapsed="false">
      <c r="A44" s="72" t="s">
        <v>64</v>
      </c>
      <c r="B44" s="72" t="s">
        <v>48</v>
      </c>
      <c r="C44" s="72" t="s">
        <v>14</v>
      </c>
      <c r="D44" s="72" t="n">
        <v>19</v>
      </c>
      <c r="E44" s="72" t="n">
        <v>19</v>
      </c>
      <c r="F44" s="72" t="n">
        <v>1194</v>
      </c>
      <c r="G44" s="72" t="n">
        <v>5</v>
      </c>
      <c r="H44" s="72" t="s">
        <v>49</v>
      </c>
      <c r="I44" s="72"/>
      <c r="J44" s="72" t="s">
        <v>50</v>
      </c>
      <c r="K44" s="72" t="s">
        <v>52</v>
      </c>
      <c r="L44" s="72" t="n">
        <v>408</v>
      </c>
      <c r="M44" s="73" t="s">
        <v>57</v>
      </c>
      <c r="N44" s="72" t="s">
        <v>54</v>
      </c>
      <c r="O44" s="66"/>
      <c r="P44" s="67"/>
      <c r="Q44" s="67"/>
      <c r="R44" s="67"/>
      <c r="S44" s="67"/>
      <c r="T44" s="67"/>
      <c r="U44" s="67"/>
      <c r="V44" s="67"/>
      <c r="W44" s="67"/>
      <c r="X44" s="68"/>
      <c r="Y44" s="68"/>
    </row>
    <row r="45" customFormat="false" ht="60" hidden="false" customHeight="true" outlineLevel="0" collapsed="false">
      <c r="A45" s="72" t="s">
        <v>64</v>
      </c>
      <c r="B45" s="72" t="s">
        <v>48</v>
      </c>
      <c r="C45" s="72" t="s">
        <v>8</v>
      </c>
      <c r="D45" s="72" t="n">
        <v>13</v>
      </c>
      <c r="E45" s="72" t="n">
        <v>35</v>
      </c>
      <c r="F45" s="72" t="n">
        <v>804</v>
      </c>
      <c r="G45" s="72" t="n">
        <v>5</v>
      </c>
      <c r="H45" s="72" t="s">
        <v>49</v>
      </c>
      <c r="I45" s="72"/>
      <c r="J45" s="72" t="s">
        <v>50</v>
      </c>
      <c r="K45" s="72" t="s">
        <v>52</v>
      </c>
      <c r="L45" s="72" t="n">
        <v>421</v>
      </c>
      <c r="M45" s="73" t="s">
        <v>56</v>
      </c>
      <c r="N45" s="72" t="s">
        <v>54</v>
      </c>
      <c r="O45" s="66"/>
      <c r="P45" s="67"/>
      <c r="Q45" s="67"/>
      <c r="R45" s="67"/>
      <c r="S45" s="67"/>
      <c r="T45" s="67"/>
      <c r="U45" s="67"/>
      <c r="V45" s="67"/>
      <c r="W45" s="67"/>
      <c r="X45" s="68"/>
      <c r="Y45" s="68"/>
    </row>
    <row r="46" customFormat="false" ht="60" hidden="false" customHeight="true" outlineLevel="0" collapsed="false">
      <c r="A46" s="72" t="s">
        <v>64</v>
      </c>
      <c r="B46" s="72" t="s">
        <v>48</v>
      </c>
      <c r="C46" s="72" t="s">
        <v>16</v>
      </c>
      <c r="D46" s="72" t="n">
        <v>4</v>
      </c>
      <c r="E46" s="72" t="n">
        <v>62</v>
      </c>
      <c r="F46" s="72" t="n">
        <v>302</v>
      </c>
      <c r="G46" s="72" t="n">
        <v>5</v>
      </c>
      <c r="H46" s="72" t="s">
        <v>49</v>
      </c>
      <c r="I46" s="72"/>
      <c r="J46" s="72" t="s">
        <v>50</v>
      </c>
      <c r="K46" s="72" t="s">
        <v>52</v>
      </c>
      <c r="L46" s="72" t="n">
        <v>373</v>
      </c>
      <c r="M46" s="73" t="s">
        <v>60</v>
      </c>
      <c r="N46" s="72" t="s">
        <v>54</v>
      </c>
      <c r="O46" s="66"/>
      <c r="P46" s="67"/>
      <c r="Q46" s="67"/>
      <c r="R46" s="67"/>
      <c r="S46" s="67"/>
      <c r="T46" s="67"/>
      <c r="U46" s="67"/>
      <c r="V46" s="67"/>
      <c r="W46" s="67"/>
      <c r="X46" s="68"/>
      <c r="Y46" s="68"/>
    </row>
    <row r="47" customFormat="false" ht="60" hidden="false" customHeight="true" outlineLevel="0" collapsed="false">
      <c r="A47" s="72" t="s">
        <v>64</v>
      </c>
      <c r="B47" s="72" t="s">
        <v>48</v>
      </c>
      <c r="C47" s="72" t="s">
        <v>20</v>
      </c>
      <c r="D47" s="72" t="n">
        <v>0</v>
      </c>
      <c r="E47" s="72" t="n">
        <v>49</v>
      </c>
      <c r="F47" s="72" t="n">
        <v>49</v>
      </c>
      <c r="G47" s="72" t="n">
        <v>5</v>
      </c>
      <c r="H47" s="72" t="s">
        <v>49</v>
      </c>
      <c r="I47" s="72"/>
      <c r="J47" s="72" t="s">
        <v>50</v>
      </c>
      <c r="K47" s="72" t="s">
        <v>52</v>
      </c>
      <c r="L47" s="72" t="n">
        <v>205</v>
      </c>
      <c r="M47" s="73" t="s">
        <v>53</v>
      </c>
      <c r="N47" s="72" t="s">
        <v>54</v>
      </c>
      <c r="O47" s="66"/>
      <c r="P47" s="67"/>
      <c r="Q47" s="67"/>
      <c r="R47" s="67"/>
      <c r="S47" s="67"/>
      <c r="T47" s="67"/>
      <c r="U47" s="67"/>
      <c r="V47" s="67"/>
      <c r="W47" s="67"/>
      <c r="X47" s="68"/>
      <c r="Y47" s="68"/>
    </row>
    <row r="48" customFormat="false" ht="60" hidden="false" customHeight="true" outlineLevel="0" collapsed="false">
      <c r="A48" s="72" t="s">
        <v>64</v>
      </c>
      <c r="B48" s="72" t="s">
        <v>48</v>
      </c>
      <c r="C48" s="72" t="s">
        <v>18</v>
      </c>
      <c r="D48" s="72" t="n">
        <v>1</v>
      </c>
      <c r="E48" s="72" t="n">
        <v>2</v>
      </c>
      <c r="F48" s="72" t="n">
        <v>62</v>
      </c>
      <c r="G48" s="72" t="n">
        <v>5</v>
      </c>
      <c r="H48" s="72" t="s">
        <v>49</v>
      </c>
      <c r="I48" s="72"/>
      <c r="J48" s="72" t="s">
        <v>50</v>
      </c>
      <c r="K48" s="72" t="s">
        <v>52</v>
      </c>
      <c r="L48" s="72" t="n">
        <v>360</v>
      </c>
      <c r="M48" s="73" t="s">
        <v>60</v>
      </c>
      <c r="N48" s="72" t="s">
        <v>54</v>
      </c>
      <c r="O48" s="66"/>
      <c r="P48" s="67"/>
      <c r="Q48" s="67"/>
      <c r="R48" s="67"/>
      <c r="S48" s="67"/>
      <c r="T48" s="67"/>
      <c r="U48" s="67"/>
      <c r="V48" s="67"/>
      <c r="W48" s="67"/>
      <c r="X48" s="68"/>
      <c r="Y48" s="68"/>
    </row>
    <row r="49" customFormat="false" ht="60" hidden="false" customHeight="true" outlineLevel="0" collapsed="false">
      <c r="A49" s="72" t="s">
        <v>65</v>
      </c>
      <c r="B49" s="72" t="s">
        <v>66</v>
      </c>
      <c r="C49" s="72" t="s">
        <v>9</v>
      </c>
      <c r="D49" s="72" t="n">
        <v>0</v>
      </c>
      <c r="E49" s="72" t="n">
        <v>6</v>
      </c>
      <c r="F49" s="72" t="n">
        <v>6</v>
      </c>
      <c r="G49" s="72" t="n">
        <v>23</v>
      </c>
      <c r="H49" s="72" t="s">
        <v>49</v>
      </c>
      <c r="I49" s="72"/>
      <c r="J49" s="72" t="s">
        <v>50</v>
      </c>
      <c r="K49" s="72" t="s">
        <v>52</v>
      </c>
      <c r="L49" s="72" t="n">
        <v>240</v>
      </c>
      <c r="M49" s="73" t="s">
        <v>59</v>
      </c>
      <c r="N49" s="72" t="s">
        <v>54</v>
      </c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customFormat="false" ht="60" hidden="false" customHeight="true" outlineLevel="0" collapsed="false">
      <c r="A50" s="72" t="s">
        <v>67</v>
      </c>
      <c r="B50" s="72"/>
      <c r="C50" s="72" t="s">
        <v>14</v>
      </c>
      <c r="D50" s="72" t="n">
        <v>41</v>
      </c>
      <c r="E50" s="72" t="n">
        <v>21</v>
      </c>
      <c r="F50" s="72" t="n">
        <v>2481</v>
      </c>
      <c r="G50" s="72" t="n">
        <v>8</v>
      </c>
      <c r="H50" s="72" t="s">
        <v>49</v>
      </c>
      <c r="I50" s="72"/>
      <c r="J50" s="72" t="s">
        <v>50</v>
      </c>
      <c r="K50" s="72" t="s">
        <v>52</v>
      </c>
      <c r="L50" s="72" t="n">
        <v>391</v>
      </c>
      <c r="M50" s="73" t="s">
        <v>68</v>
      </c>
      <c r="N50" s="72" t="s">
        <v>54</v>
      </c>
      <c r="O50" s="69"/>
      <c r="P50" s="70"/>
      <c r="Q50" s="70"/>
      <c r="R50" s="70"/>
      <c r="S50" s="70"/>
      <c r="T50" s="70"/>
      <c r="U50" s="70"/>
      <c r="V50" s="70"/>
      <c r="W50" s="70"/>
      <c r="X50" s="70"/>
      <c r="Y50" s="71"/>
    </row>
    <row r="51" customFormat="false" ht="60" hidden="false" customHeight="true" outlineLevel="0" collapsed="false">
      <c r="A51" s="72" t="s">
        <v>67</v>
      </c>
      <c r="B51" s="72"/>
      <c r="C51" s="72" t="s">
        <v>8</v>
      </c>
      <c r="D51" s="72" t="n">
        <v>15</v>
      </c>
      <c r="E51" s="72" t="n">
        <v>37</v>
      </c>
      <c r="F51" s="72" t="n">
        <v>937</v>
      </c>
      <c r="G51" s="72" t="n">
        <v>8</v>
      </c>
      <c r="H51" s="72" t="s">
        <v>49</v>
      </c>
      <c r="I51" s="72"/>
      <c r="J51" s="72" t="s">
        <v>50</v>
      </c>
      <c r="K51" s="72" t="s">
        <v>52</v>
      </c>
      <c r="L51" s="72" t="n">
        <v>390</v>
      </c>
      <c r="M51" s="73" t="s">
        <v>59</v>
      </c>
      <c r="N51" s="72" t="s">
        <v>54</v>
      </c>
      <c r="O51" s="66"/>
      <c r="P51" s="67"/>
      <c r="Q51" s="67"/>
      <c r="R51" s="67"/>
      <c r="S51" s="67"/>
      <c r="T51" s="67"/>
      <c r="U51" s="67"/>
      <c r="V51" s="67"/>
      <c r="W51" s="67"/>
      <c r="X51" s="67"/>
      <c r="Y51" s="68"/>
    </row>
    <row r="52" customFormat="false" ht="60" hidden="false" customHeight="true" outlineLevel="0" collapsed="false">
      <c r="A52" s="72" t="s">
        <v>67</v>
      </c>
      <c r="B52" s="72"/>
      <c r="C52" s="72" t="s">
        <v>16</v>
      </c>
      <c r="D52" s="72" t="n">
        <v>8</v>
      </c>
      <c r="E52" s="72" t="n">
        <v>26</v>
      </c>
      <c r="F52" s="72" t="n">
        <v>506</v>
      </c>
      <c r="G52" s="72" t="n">
        <v>8</v>
      </c>
      <c r="H52" s="72" t="s">
        <v>49</v>
      </c>
      <c r="I52" s="72"/>
      <c r="J52" s="72" t="s">
        <v>50</v>
      </c>
      <c r="K52" s="72" t="s">
        <v>52</v>
      </c>
      <c r="L52" s="72" t="n">
        <v>333</v>
      </c>
      <c r="M52" s="73" t="s">
        <v>60</v>
      </c>
      <c r="N52" s="72" t="s">
        <v>54</v>
      </c>
      <c r="O52" s="66"/>
      <c r="P52" s="67"/>
      <c r="Q52" s="67"/>
      <c r="R52" s="67"/>
      <c r="S52" s="67"/>
      <c r="T52" s="67"/>
      <c r="U52" s="67"/>
      <c r="V52" s="67"/>
      <c r="W52" s="67"/>
      <c r="X52" s="67"/>
      <c r="Y52" s="68"/>
    </row>
    <row r="53" customFormat="false" ht="60" hidden="false" customHeight="true" outlineLevel="0" collapsed="false">
      <c r="A53" s="72" t="s">
        <v>67</v>
      </c>
      <c r="B53" s="72"/>
      <c r="C53" s="72" t="s">
        <v>20</v>
      </c>
      <c r="D53" s="72" t="n">
        <v>2</v>
      </c>
      <c r="E53" s="72" t="n">
        <v>20</v>
      </c>
      <c r="F53" s="72" t="n">
        <v>140</v>
      </c>
      <c r="G53" s="72" t="n">
        <v>9</v>
      </c>
      <c r="H53" s="72" t="s">
        <v>49</v>
      </c>
      <c r="I53" s="72"/>
      <c r="J53" s="72" t="s">
        <v>50</v>
      </c>
      <c r="K53" s="72" t="s">
        <v>52</v>
      </c>
      <c r="L53" s="72" t="n">
        <v>177</v>
      </c>
      <c r="M53" s="73" t="s">
        <v>53</v>
      </c>
      <c r="N53" s="72" t="s">
        <v>54</v>
      </c>
      <c r="O53" s="66"/>
      <c r="P53" s="67"/>
      <c r="Q53" s="67"/>
      <c r="R53" s="67"/>
      <c r="S53" s="67"/>
      <c r="T53" s="67"/>
      <c r="U53" s="67"/>
      <c r="V53" s="67"/>
      <c r="W53" s="67"/>
      <c r="X53" s="67"/>
      <c r="Y53" s="68"/>
    </row>
    <row r="54" customFormat="false" ht="60" hidden="false" customHeight="true" outlineLevel="0" collapsed="false">
      <c r="A54" s="72" t="s">
        <v>67</v>
      </c>
      <c r="B54" s="72"/>
      <c r="C54" s="72" t="s">
        <v>18</v>
      </c>
      <c r="D54" s="72" t="n">
        <v>2</v>
      </c>
      <c r="E54" s="72" t="n">
        <v>29</v>
      </c>
      <c r="F54" s="72" t="n">
        <v>149</v>
      </c>
      <c r="G54" s="72" t="n">
        <v>9</v>
      </c>
      <c r="H54" s="72" t="s">
        <v>49</v>
      </c>
      <c r="I54" s="72"/>
      <c r="J54" s="72" t="s">
        <v>50</v>
      </c>
      <c r="K54" s="72" t="s">
        <v>52</v>
      </c>
      <c r="L54" s="72" t="n">
        <v>334</v>
      </c>
      <c r="M54" s="73" t="s">
        <v>60</v>
      </c>
      <c r="N54" s="72" t="s">
        <v>54</v>
      </c>
      <c r="O54" s="66"/>
      <c r="P54" s="67"/>
      <c r="Q54" s="67"/>
      <c r="R54" s="67"/>
      <c r="S54" s="67"/>
      <c r="T54" s="67"/>
      <c r="U54" s="67"/>
      <c r="V54" s="67"/>
      <c r="W54" s="67"/>
      <c r="X54" s="67"/>
      <c r="Y54" s="68"/>
    </row>
    <row r="55" customFormat="false" ht="60" hidden="false" customHeight="true" outlineLevel="0" collapsed="false">
      <c r="A55" s="72" t="s">
        <v>69</v>
      </c>
      <c r="B55" s="72" t="s">
        <v>48</v>
      </c>
      <c r="C55" s="72" t="s">
        <v>14</v>
      </c>
      <c r="D55" s="72" t="n">
        <v>4</v>
      </c>
      <c r="E55" s="72" t="n">
        <v>58</v>
      </c>
      <c r="F55" s="72" t="n">
        <v>298</v>
      </c>
      <c r="G55" s="72" t="n">
        <v>8</v>
      </c>
      <c r="H55" s="72" t="s">
        <v>49</v>
      </c>
      <c r="I55" s="72"/>
      <c r="J55" s="72" t="s">
        <v>50</v>
      </c>
      <c r="K55" s="72" t="s">
        <v>52</v>
      </c>
      <c r="L55" s="72" t="n">
        <v>373</v>
      </c>
      <c r="M55" s="73" t="s">
        <v>59</v>
      </c>
      <c r="N55" s="72" t="s">
        <v>54</v>
      </c>
      <c r="O55" s="75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 customFormat="false" ht="60" hidden="false" customHeight="true" outlineLevel="0" collapsed="false">
      <c r="A56" s="72" t="s">
        <v>69</v>
      </c>
      <c r="B56" s="72" t="s">
        <v>48</v>
      </c>
      <c r="C56" s="72" t="s">
        <v>8</v>
      </c>
      <c r="D56" s="72" t="n">
        <v>1</v>
      </c>
      <c r="E56" s="72" t="n">
        <v>47</v>
      </c>
      <c r="F56" s="72" t="n">
        <v>107</v>
      </c>
      <c r="G56" s="72" t="n">
        <v>11</v>
      </c>
      <c r="H56" s="72" t="s">
        <v>49</v>
      </c>
      <c r="I56" s="72"/>
      <c r="J56" s="72" t="s">
        <v>50</v>
      </c>
      <c r="K56" s="72" t="s">
        <v>52</v>
      </c>
      <c r="L56" s="72" t="n">
        <v>389</v>
      </c>
      <c r="M56" s="73" t="s">
        <v>59</v>
      </c>
      <c r="N56" s="72" t="s">
        <v>54</v>
      </c>
      <c r="O56" s="75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 customFormat="false" ht="60" hidden="false" customHeight="true" outlineLevel="0" collapsed="false">
      <c r="A57" s="72" t="s">
        <v>69</v>
      </c>
      <c r="B57" s="72" t="s">
        <v>48</v>
      </c>
      <c r="C57" s="72" t="s">
        <v>16</v>
      </c>
      <c r="D57" s="72" t="n">
        <v>1</v>
      </c>
      <c r="E57" s="72" t="n">
        <v>46</v>
      </c>
      <c r="F57" s="72" t="n">
        <v>106</v>
      </c>
      <c r="G57" s="72" t="n">
        <v>9</v>
      </c>
      <c r="H57" s="72" t="s">
        <v>49</v>
      </c>
      <c r="I57" s="72"/>
      <c r="J57" s="72" t="s">
        <v>50</v>
      </c>
      <c r="K57" s="72" t="s">
        <v>52</v>
      </c>
      <c r="L57" s="72" t="n">
        <v>364</v>
      </c>
      <c r="M57" s="73" t="s">
        <v>59</v>
      </c>
      <c r="N57" s="72" t="s">
        <v>54</v>
      </c>
      <c r="O57" s="76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customFormat="false" ht="60" hidden="false" customHeight="true" outlineLevel="0" collapsed="false">
      <c r="A58" s="72" t="s">
        <v>69</v>
      </c>
      <c r="B58" s="72" t="s">
        <v>48</v>
      </c>
      <c r="C58" s="72" t="s">
        <v>20</v>
      </c>
      <c r="D58" s="72" t="n">
        <v>0</v>
      </c>
      <c r="E58" s="72" t="n">
        <v>29</v>
      </c>
      <c r="F58" s="72" t="n">
        <v>29</v>
      </c>
      <c r="G58" s="72" t="n">
        <v>9</v>
      </c>
      <c r="H58" s="72" t="s">
        <v>49</v>
      </c>
      <c r="I58" s="72"/>
      <c r="J58" s="72" t="s">
        <v>50</v>
      </c>
      <c r="K58" s="72" t="s">
        <v>52</v>
      </c>
      <c r="L58" s="72" t="n">
        <v>177</v>
      </c>
      <c r="M58" s="73" t="s">
        <v>53</v>
      </c>
      <c r="N58" s="72" t="s">
        <v>54</v>
      </c>
      <c r="O58" s="78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 customFormat="false" ht="70.5" hidden="false" customHeight="true" outlineLevel="0" collapsed="false">
      <c r="A59" s="72" t="s">
        <v>69</v>
      </c>
      <c r="B59" s="72" t="s">
        <v>48</v>
      </c>
      <c r="C59" s="72" t="s">
        <v>18</v>
      </c>
      <c r="D59" s="72" t="n">
        <v>0</v>
      </c>
      <c r="E59" s="72" t="n">
        <v>33</v>
      </c>
      <c r="F59" s="72" t="n">
        <v>33</v>
      </c>
      <c r="G59" s="72" t="n">
        <v>9</v>
      </c>
      <c r="H59" s="72" t="s">
        <v>49</v>
      </c>
      <c r="I59" s="72"/>
      <c r="J59" s="72" t="s">
        <v>50</v>
      </c>
      <c r="K59" s="72" t="s">
        <v>52</v>
      </c>
      <c r="L59" s="72" t="n">
        <v>334</v>
      </c>
      <c r="M59" s="73" t="s">
        <v>60</v>
      </c>
      <c r="N59" s="72" t="s">
        <v>54</v>
      </c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customFormat="false" ht="70.5" hidden="false" customHeight="true" outlineLevel="0" collapsed="false">
      <c r="A60" s="72" t="s">
        <v>70</v>
      </c>
      <c r="B60" s="72" t="s">
        <v>66</v>
      </c>
      <c r="C60" s="72" t="s">
        <v>9</v>
      </c>
      <c r="D60" s="72" t="n">
        <v>91</v>
      </c>
      <c r="E60" s="72" t="n">
        <v>27</v>
      </c>
      <c r="F60" s="72" t="n">
        <v>5487</v>
      </c>
      <c r="G60" s="72" t="n">
        <v>14</v>
      </c>
      <c r="H60" s="72" t="s">
        <v>49</v>
      </c>
      <c r="I60" s="72"/>
      <c r="J60" s="72" t="s">
        <v>50</v>
      </c>
      <c r="K60" s="72" t="s">
        <v>52</v>
      </c>
      <c r="L60" s="72" t="n">
        <v>278</v>
      </c>
      <c r="M60" s="73" t="s">
        <v>59</v>
      </c>
      <c r="N60" s="72" t="s">
        <v>54</v>
      </c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customFormat="false" ht="70.5" hidden="false" customHeight="true" outlineLevel="0" collapsed="false">
      <c r="A61" s="72" t="s">
        <v>70</v>
      </c>
      <c r="B61" s="72" t="s">
        <v>66</v>
      </c>
      <c r="C61" s="72" t="s">
        <v>12</v>
      </c>
      <c r="D61" s="72" t="n">
        <v>5</v>
      </c>
      <c r="E61" s="72" t="n">
        <v>53</v>
      </c>
      <c r="F61" s="72" t="n">
        <v>353</v>
      </c>
      <c r="G61" s="72" t="n">
        <v>15</v>
      </c>
      <c r="H61" s="72" t="s">
        <v>49</v>
      </c>
      <c r="I61" s="72"/>
      <c r="J61" s="72" t="s">
        <v>50</v>
      </c>
      <c r="K61" s="72" t="s">
        <v>52</v>
      </c>
      <c r="L61" s="72" t="n">
        <v>166</v>
      </c>
      <c r="M61" s="73" t="s">
        <v>71</v>
      </c>
      <c r="N61" s="72" t="s">
        <v>54</v>
      </c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customFormat="false" ht="70.5" hidden="false" customHeight="true" outlineLevel="0" collapsed="false">
      <c r="A62" s="72" t="s">
        <v>72</v>
      </c>
      <c r="B62" s="72" t="s">
        <v>66</v>
      </c>
      <c r="C62" s="72" t="s">
        <v>9</v>
      </c>
      <c r="D62" s="72" t="n">
        <v>78</v>
      </c>
      <c r="E62" s="72" t="n">
        <v>51</v>
      </c>
      <c r="F62" s="72" t="n">
        <v>4731</v>
      </c>
      <c r="G62" s="72" t="n">
        <v>16</v>
      </c>
      <c r="H62" s="72" t="s">
        <v>49</v>
      </c>
      <c r="I62" s="72"/>
      <c r="J62" s="72" t="s">
        <v>50</v>
      </c>
      <c r="K62" s="72" t="s">
        <v>52</v>
      </c>
      <c r="L62" s="72" t="n">
        <v>267</v>
      </c>
      <c r="M62" s="73" t="s">
        <v>59</v>
      </c>
      <c r="N62" s="72" t="s">
        <v>54</v>
      </c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customFormat="false" ht="70.5" hidden="false" customHeight="true" outlineLevel="0" collapsed="false">
      <c r="A63" s="72" t="s">
        <v>72</v>
      </c>
      <c r="B63" s="72" t="s">
        <v>66</v>
      </c>
      <c r="C63" s="72" t="s">
        <v>12</v>
      </c>
      <c r="D63" s="72" t="n">
        <v>3</v>
      </c>
      <c r="E63" s="72" t="n">
        <v>53</v>
      </c>
      <c r="F63" s="72" t="n">
        <v>233</v>
      </c>
      <c r="G63" s="72" t="n">
        <v>17</v>
      </c>
      <c r="H63" s="72" t="s">
        <v>49</v>
      </c>
      <c r="I63" s="72"/>
      <c r="J63" s="72" t="s">
        <v>50</v>
      </c>
      <c r="K63" s="72" t="s">
        <v>52</v>
      </c>
      <c r="L63" s="72" t="n">
        <v>158</v>
      </c>
      <c r="M63" s="73" t="s">
        <v>56</v>
      </c>
      <c r="N63" s="72" t="s">
        <v>54</v>
      </c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customFormat="false" ht="70.5" hidden="false" customHeight="true" outlineLevel="0" collapsed="false">
      <c r="A64" s="64" t="s">
        <v>73</v>
      </c>
      <c r="B64" s="64" t="s">
        <v>48</v>
      </c>
      <c r="C64" s="64" t="s">
        <v>11</v>
      </c>
      <c r="D64" s="64" t="n">
        <v>7</v>
      </c>
      <c r="E64" s="64" t="n">
        <v>43</v>
      </c>
      <c r="F64" s="64" t="n">
        <v>463</v>
      </c>
      <c r="G64" s="64"/>
      <c r="H64" s="64" t="s">
        <v>49</v>
      </c>
      <c r="I64" s="64"/>
      <c r="J64" s="64" t="s">
        <v>50</v>
      </c>
      <c r="K64" s="64" t="s">
        <v>52</v>
      </c>
      <c r="L64" s="64"/>
      <c r="M64" s="65"/>
      <c r="N64" s="64" t="s">
        <v>51</v>
      </c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customFormat="false" ht="70.5" hidden="false" customHeight="true" outlineLevel="0" collapsed="false">
      <c r="A65" s="72" t="s">
        <v>73</v>
      </c>
      <c r="B65" s="72" t="s">
        <v>48</v>
      </c>
      <c r="C65" s="72" t="s">
        <v>11</v>
      </c>
      <c r="D65" s="72" t="n">
        <v>7</v>
      </c>
      <c r="E65" s="72" t="n">
        <v>45</v>
      </c>
      <c r="F65" s="72" t="n">
        <v>462</v>
      </c>
      <c r="G65" s="72"/>
      <c r="H65" s="72" t="s">
        <v>49</v>
      </c>
      <c r="I65" s="72"/>
      <c r="J65" s="72" t="s">
        <v>50</v>
      </c>
      <c r="K65" s="72"/>
      <c r="L65" s="72" t="n">
        <v>319</v>
      </c>
      <c r="M65" s="73" t="s">
        <v>60</v>
      </c>
      <c r="N65" s="72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customFormat="false" ht="70.5" hidden="false" customHeight="true" outlineLevel="0" collapsed="false">
      <c r="A66" s="64" t="s">
        <v>74</v>
      </c>
      <c r="B66" s="64" t="s">
        <v>48</v>
      </c>
      <c r="C66" s="64" t="s">
        <v>14</v>
      </c>
      <c r="D66" s="64" t="n">
        <v>14</v>
      </c>
      <c r="E66" s="64" t="n">
        <v>49</v>
      </c>
      <c r="F66" s="64" t="n">
        <v>889</v>
      </c>
      <c r="G66" s="64"/>
      <c r="H66" s="64" t="s">
        <v>49</v>
      </c>
      <c r="I66" s="64"/>
      <c r="J66" s="64" t="s">
        <v>50</v>
      </c>
      <c r="K66" s="64"/>
      <c r="L66" s="64"/>
      <c r="M66" s="65"/>
      <c r="N66" s="64" t="s">
        <v>51</v>
      </c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customFormat="false" ht="70.5" hidden="false" customHeight="true" outlineLevel="0" collapsed="false">
      <c r="A67" s="64" t="s">
        <v>74</v>
      </c>
      <c r="B67" s="64" t="s">
        <v>48</v>
      </c>
      <c r="C67" s="64" t="s">
        <v>16</v>
      </c>
      <c r="D67" s="64" t="n">
        <v>7</v>
      </c>
      <c r="E67" s="64" t="n">
        <v>37</v>
      </c>
      <c r="F67" s="64" t="n">
        <v>457</v>
      </c>
      <c r="G67" s="64"/>
      <c r="H67" s="64" t="s">
        <v>49</v>
      </c>
      <c r="I67" s="64"/>
      <c r="J67" s="64" t="s">
        <v>50</v>
      </c>
      <c r="K67" s="64"/>
      <c r="L67" s="64"/>
      <c r="M67" s="65"/>
      <c r="N67" s="64" t="s">
        <v>51</v>
      </c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customFormat="false" ht="70.5" hidden="false" customHeight="true" outlineLevel="0" collapsed="false">
      <c r="A68" s="72" t="s">
        <v>74</v>
      </c>
      <c r="B68" s="72" t="s">
        <v>48</v>
      </c>
      <c r="C68" s="72" t="s">
        <v>20</v>
      </c>
      <c r="D68" s="72" t="n">
        <v>0</v>
      </c>
      <c r="E68" s="72" t="n">
        <v>22</v>
      </c>
      <c r="F68" s="72" t="n">
        <v>22</v>
      </c>
      <c r="G68" s="72" t="n">
        <v>24</v>
      </c>
      <c r="H68" s="72" t="s">
        <v>49</v>
      </c>
      <c r="I68" s="72"/>
      <c r="J68" s="72" t="s">
        <v>50</v>
      </c>
      <c r="K68" s="72" t="s">
        <v>52</v>
      </c>
      <c r="L68" s="72" t="n">
        <v>140</v>
      </c>
      <c r="M68" s="73" t="s">
        <v>53</v>
      </c>
      <c r="N68" s="72" t="s">
        <v>54</v>
      </c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customFormat="false" ht="81.75" hidden="false" customHeight="true" outlineLevel="0" collapsed="false">
      <c r="A69" s="72" t="s">
        <v>74</v>
      </c>
      <c r="B69" s="72" t="s">
        <v>48</v>
      </c>
      <c r="C69" s="72" t="s">
        <v>18</v>
      </c>
      <c r="D69" s="72" t="n">
        <v>0</v>
      </c>
      <c r="E69" s="72" t="n">
        <v>21</v>
      </c>
      <c r="F69" s="72" t="n">
        <v>21</v>
      </c>
      <c r="G69" s="72" t="n">
        <v>24</v>
      </c>
      <c r="H69" s="72" t="s">
        <v>49</v>
      </c>
      <c r="I69" s="72"/>
      <c r="J69" s="72" t="s">
        <v>50</v>
      </c>
      <c r="K69" s="72" t="s">
        <v>52</v>
      </c>
      <c r="L69" s="72" t="n">
        <v>288</v>
      </c>
      <c r="M69" s="73" t="s">
        <v>60</v>
      </c>
      <c r="N69" s="72" t="s">
        <v>54</v>
      </c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customFormat="false" ht="81.75" hidden="false" customHeight="true" outlineLevel="0" collapsed="false">
      <c r="A70" s="72" t="s">
        <v>75</v>
      </c>
      <c r="B70" s="72" t="s">
        <v>48</v>
      </c>
      <c r="C70" s="72" t="s">
        <v>8</v>
      </c>
      <c r="D70" s="72" t="n">
        <v>16</v>
      </c>
      <c r="E70" s="72" t="n">
        <v>37</v>
      </c>
      <c r="F70" s="72" t="n">
        <v>997</v>
      </c>
      <c r="G70" s="72" t="n">
        <v>29</v>
      </c>
      <c r="H70" s="72" t="s">
        <v>49</v>
      </c>
      <c r="I70" s="72"/>
      <c r="J70" s="72" t="s">
        <v>76</v>
      </c>
      <c r="K70" s="72" t="s">
        <v>52</v>
      </c>
      <c r="L70" s="72" t="n">
        <v>347</v>
      </c>
      <c r="M70" s="73" t="s">
        <v>68</v>
      </c>
      <c r="N70" s="72" t="s">
        <v>54</v>
      </c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customFormat="false" ht="81.75" hidden="false" customHeight="true" outlineLevel="0" collapsed="false">
      <c r="A71" s="72" t="s">
        <v>75</v>
      </c>
      <c r="B71" s="72" t="s">
        <v>48</v>
      </c>
      <c r="C71" s="72" t="s">
        <v>14</v>
      </c>
      <c r="D71" s="72" t="n">
        <v>61</v>
      </c>
      <c r="E71" s="72" t="n">
        <v>23</v>
      </c>
      <c r="F71" s="72" t="n">
        <v>3683</v>
      </c>
      <c r="G71" s="72" t="n">
        <v>29</v>
      </c>
      <c r="H71" s="72" t="s">
        <v>49</v>
      </c>
      <c r="I71" s="72"/>
      <c r="J71" s="72" t="s">
        <v>76</v>
      </c>
      <c r="K71" s="72" t="s">
        <v>52</v>
      </c>
      <c r="L71" s="72" t="n">
        <v>344</v>
      </c>
      <c r="M71" s="73" t="s">
        <v>68</v>
      </c>
      <c r="N71" s="72" t="s">
        <v>54</v>
      </c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customFormat="false" ht="81.75" hidden="false" customHeight="true" outlineLevel="0" collapsed="false">
      <c r="A72" s="72" t="s">
        <v>75</v>
      </c>
      <c r="B72" s="72" t="s">
        <v>48</v>
      </c>
      <c r="C72" s="72" t="s">
        <v>16</v>
      </c>
      <c r="D72" s="72" t="n">
        <v>28</v>
      </c>
      <c r="E72" s="72" t="n">
        <v>45</v>
      </c>
      <c r="F72" s="72" t="n">
        <v>1725</v>
      </c>
      <c r="G72" s="72" t="n">
        <v>29</v>
      </c>
      <c r="H72" s="72" t="s">
        <v>49</v>
      </c>
      <c r="I72" s="72"/>
      <c r="J72" s="72" t="s">
        <v>76</v>
      </c>
      <c r="K72" s="72" t="s">
        <v>52</v>
      </c>
      <c r="L72" s="72" t="n">
        <v>333</v>
      </c>
      <c r="M72" s="73" t="s">
        <v>68</v>
      </c>
      <c r="N72" s="72" t="s">
        <v>54</v>
      </c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customFormat="false" ht="81.75" hidden="false" customHeight="true" outlineLevel="0" collapsed="false">
      <c r="A73" s="72" t="s">
        <v>75</v>
      </c>
      <c r="B73" s="72" t="s">
        <v>48</v>
      </c>
      <c r="C73" s="72" t="s">
        <v>11</v>
      </c>
      <c r="D73" s="72" t="n">
        <v>3</v>
      </c>
      <c r="E73" s="72" t="n">
        <v>13</v>
      </c>
      <c r="F73" s="72" t="n">
        <v>193</v>
      </c>
      <c r="G73" s="72" t="n">
        <v>29</v>
      </c>
      <c r="H73" s="72" t="s">
        <v>49</v>
      </c>
      <c r="I73" s="72"/>
      <c r="J73" s="72" t="s">
        <v>76</v>
      </c>
      <c r="K73" s="72" t="s">
        <v>52</v>
      </c>
      <c r="L73" s="72" t="n">
        <v>334</v>
      </c>
      <c r="M73" s="73" t="s">
        <v>68</v>
      </c>
      <c r="N73" s="72" t="s">
        <v>54</v>
      </c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customFormat="false" ht="81.75" hidden="false" customHeight="true" outlineLevel="0" collapsed="false">
      <c r="A74" s="72" t="s">
        <v>75</v>
      </c>
      <c r="B74" s="72" t="s">
        <v>48</v>
      </c>
      <c r="C74" s="72" t="s">
        <v>20</v>
      </c>
      <c r="D74" s="72" t="n">
        <v>4</v>
      </c>
      <c r="E74" s="72" t="n">
        <v>27</v>
      </c>
      <c r="F74" s="72" t="n">
        <v>267</v>
      </c>
      <c r="G74" s="72" t="n">
        <v>29</v>
      </c>
      <c r="H74" s="72" t="s">
        <v>49</v>
      </c>
      <c r="I74" s="72"/>
      <c r="J74" s="72" t="s">
        <v>76</v>
      </c>
      <c r="K74" s="72" t="s">
        <v>52</v>
      </c>
      <c r="L74" s="72" t="n">
        <v>254</v>
      </c>
      <c r="M74" s="73" t="s">
        <v>77</v>
      </c>
      <c r="N74" s="72" t="s">
        <v>54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customFormat="false" ht="81.75" hidden="false" customHeight="true" outlineLevel="0" collapsed="false">
      <c r="A75" s="72" t="s">
        <v>75</v>
      </c>
      <c r="B75" s="72" t="s">
        <v>48</v>
      </c>
      <c r="C75" s="72" t="s">
        <v>18</v>
      </c>
      <c r="D75" s="72" t="n">
        <v>2</v>
      </c>
      <c r="E75" s="72" t="n">
        <v>53</v>
      </c>
      <c r="F75" s="72" t="n">
        <v>173</v>
      </c>
      <c r="G75" s="72" t="n">
        <v>29</v>
      </c>
      <c r="H75" s="72" t="s">
        <v>49</v>
      </c>
      <c r="I75" s="72"/>
      <c r="J75" s="72" t="s">
        <v>76</v>
      </c>
      <c r="K75" s="72" t="s">
        <v>52</v>
      </c>
      <c r="L75" s="72" t="n">
        <v>298</v>
      </c>
      <c r="M75" s="73" t="s">
        <v>60</v>
      </c>
      <c r="N75" s="72" t="s">
        <v>54</v>
      </c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customFormat="false" ht="81.75" hidden="false" customHeight="true" outlineLevel="0" collapsed="false">
      <c r="A76" s="72" t="s">
        <v>78</v>
      </c>
      <c r="B76" s="72" t="s">
        <v>62</v>
      </c>
      <c r="C76" s="72" t="s">
        <v>9</v>
      </c>
      <c r="D76" s="72" t="n">
        <v>37</v>
      </c>
      <c r="E76" s="72" t="n">
        <v>42</v>
      </c>
      <c r="F76" s="72" t="n">
        <v>2262</v>
      </c>
      <c r="G76" s="72" t="n">
        <v>2</v>
      </c>
      <c r="H76" s="72" t="s">
        <v>79</v>
      </c>
      <c r="I76" s="72"/>
      <c r="J76" s="72" t="s">
        <v>50</v>
      </c>
      <c r="K76" s="72" t="s">
        <v>52</v>
      </c>
      <c r="L76" s="72" t="n">
        <v>330</v>
      </c>
      <c r="M76" s="73" t="s">
        <v>80</v>
      </c>
      <c r="N76" s="72" t="s">
        <v>54</v>
      </c>
      <c r="O76" s="66"/>
      <c r="P76" s="67"/>
      <c r="Q76" s="67"/>
      <c r="R76" s="67"/>
      <c r="S76" s="67"/>
      <c r="T76" s="67"/>
      <c r="U76" s="67"/>
      <c r="V76" s="67"/>
      <c r="W76" s="67"/>
      <c r="X76" s="67"/>
      <c r="Y76" s="68"/>
    </row>
    <row r="77" customFormat="false" ht="81.75" hidden="false" customHeight="true" outlineLevel="0" collapsed="false">
      <c r="A77" s="72" t="s">
        <v>78</v>
      </c>
      <c r="B77" s="72" t="s">
        <v>62</v>
      </c>
      <c r="C77" s="72" t="s">
        <v>12</v>
      </c>
      <c r="D77" s="72" t="n">
        <v>4</v>
      </c>
      <c r="E77" s="72" t="n">
        <v>40</v>
      </c>
      <c r="F77" s="72" t="n">
        <v>280</v>
      </c>
      <c r="G77" s="72" t="n">
        <v>2</v>
      </c>
      <c r="H77" s="72" t="s">
        <v>79</v>
      </c>
      <c r="I77" s="72"/>
      <c r="J77" s="72" t="s">
        <v>50</v>
      </c>
      <c r="K77" s="72" t="s">
        <v>52</v>
      </c>
      <c r="L77" s="72" t="n">
        <v>207</v>
      </c>
      <c r="M77" s="73" t="s">
        <v>81</v>
      </c>
      <c r="N77" s="72" t="s">
        <v>54</v>
      </c>
      <c r="O77" s="66"/>
      <c r="P77" s="67"/>
      <c r="Q77" s="67"/>
      <c r="R77" s="67"/>
      <c r="S77" s="67"/>
      <c r="T77" s="67"/>
      <c r="U77" s="67"/>
      <c r="V77" s="67"/>
      <c r="W77" s="67"/>
      <c r="X77" s="67"/>
      <c r="Y77" s="68"/>
    </row>
    <row r="78" customFormat="false" ht="81.75" hidden="false" customHeight="true" outlineLevel="0" collapsed="false">
      <c r="A78" s="72" t="s">
        <v>82</v>
      </c>
      <c r="B78" s="72" t="s">
        <v>66</v>
      </c>
      <c r="C78" s="72" t="s">
        <v>9</v>
      </c>
      <c r="D78" s="72" t="n">
        <v>5</v>
      </c>
      <c r="E78" s="72" t="n">
        <v>48</v>
      </c>
      <c r="F78" s="72" t="n">
        <v>348</v>
      </c>
      <c r="G78" s="72" t="n">
        <v>4</v>
      </c>
      <c r="H78" s="72" t="s">
        <v>79</v>
      </c>
      <c r="I78" s="72"/>
      <c r="J78" s="72" t="s">
        <v>50</v>
      </c>
      <c r="K78" s="72" t="s">
        <v>52</v>
      </c>
      <c r="L78" s="72" t="n">
        <v>209</v>
      </c>
      <c r="M78" s="73" t="s">
        <v>53</v>
      </c>
      <c r="N78" s="72" t="s">
        <v>54</v>
      </c>
      <c r="O78" s="69"/>
      <c r="P78" s="70"/>
      <c r="Q78" s="70"/>
      <c r="R78" s="70"/>
      <c r="S78" s="70"/>
      <c r="T78" s="70"/>
      <c r="U78" s="70"/>
      <c r="V78" s="70"/>
      <c r="W78" s="70"/>
      <c r="X78" s="70"/>
      <c r="Y78" s="71"/>
    </row>
    <row r="79" customFormat="false" ht="81.7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3"/>
      <c r="N79" s="72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customFormat="false" ht="81.7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3"/>
      <c r="N80" s="72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customFormat="false" ht="81.7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3"/>
      <c r="N81" s="72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customFormat="false" ht="81.7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3"/>
      <c r="N82" s="72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customFormat="false" ht="81.7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3"/>
      <c r="N83" s="72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customFormat="false" ht="81.7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3"/>
      <c r="N84" s="72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customFormat="false" ht="81.7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3"/>
      <c r="N85" s="72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customFormat="false" ht="81.7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3"/>
      <c r="N86" s="72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customFormat="false" ht="81.7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3"/>
      <c r="N87" s="72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customFormat="false" ht="81.7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3"/>
      <c r="N88" s="72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</row>
    <row r="89" customFormat="false" ht="81.7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3"/>
      <c r="N89" s="72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</row>
    <row r="90" customFormat="false" ht="81.7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3"/>
      <c r="N90" s="72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</row>
    <row r="91" customFormat="false" ht="81.7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3"/>
      <c r="N91" s="72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</row>
    <row r="92" customFormat="false" ht="81.7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3"/>
      <c r="N92" s="72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</row>
    <row r="93" customFormat="false" ht="81.7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3"/>
      <c r="N93" s="72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 customFormat="false" ht="81.7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3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</row>
    <row r="95" customFormat="false" ht="81.7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3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</row>
    <row r="96" customFormat="false" ht="81.7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3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</row>
    <row r="97" customFormat="false" ht="81.7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3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</row>
    <row r="98" customFormat="false" ht="81.7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3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</row>
    <row r="99" customFormat="false" ht="91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3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</row>
    <row r="100" customFormat="false" ht="91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3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</row>
    <row r="101" customFormat="false" ht="91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3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</row>
    <row r="102" customFormat="false" ht="91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3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</row>
    <row r="103" customFormat="false" ht="91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3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</row>
    <row r="104" customFormat="false" ht="91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3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</row>
    <row r="105" customFormat="false" ht="91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3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</row>
    <row r="106" customFormat="false" ht="58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3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</row>
    <row r="107" customFormat="false" ht="58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3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</row>
    <row r="108" customFormat="false" ht="58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3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</row>
    <row r="109" customFormat="false" ht="58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3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</row>
    <row r="110" customFormat="false" ht="58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3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</row>
    <row r="111" customFormat="false" ht="58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3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</row>
    <row r="112" customFormat="false" ht="58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3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</row>
    <row r="113" customFormat="false" ht="58.5" hidden="false" customHeight="true" outlineLevel="0" collapsed="false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3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</row>
    <row r="114" customFormat="false" ht="58.5" hidden="false" customHeight="true" outlineLevel="0" collapsed="false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3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</row>
    <row r="115" customFormat="false" ht="58.5" hidden="false" customHeight="true" outlineLevel="0" collapsed="false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3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</row>
    <row r="116" customFormat="false" ht="58.5" hidden="false" customHeight="true" outlineLevel="0" collapsed="false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3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</row>
    <row r="117" customFormat="false" ht="58.5" hidden="false" customHeight="true" outlineLevel="0" collapsed="false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3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</row>
    <row r="118" customFormat="false" ht="58.5" hidden="false" customHeight="true" outlineLevel="0" collapsed="false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3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</row>
    <row r="119" customFormat="false" ht="58.5" hidden="false" customHeight="true" outlineLevel="0" collapsed="false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3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</row>
    <row r="120" customFormat="false" ht="58.5" hidden="false" customHeight="true" outlineLevel="0" collapsed="false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3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</row>
    <row r="121" customFormat="false" ht="58.5" hidden="false" customHeight="true" outlineLevel="0" collapsed="false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3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</row>
    <row r="122" customFormat="false" ht="58.5" hidden="false" customHeight="true" outlineLevel="0" collapsed="false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3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</row>
    <row r="123" customFormat="false" ht="58.5" hidden="false" customHeight="true" outlineLevel="0" collapsed="false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3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</row>
    <row r="124" customFormat="false" ht="58.5" hidden="false" customHeight="true" outlineLevel="0" collapsed="false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3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</row>
    <row r="125" customFormat="false" ht="58.5" hidden="false" customHeight="true" outlineLevel="0" collapsed="false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3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</row>
    <row r="126" customFormat="false" ht="58.5" hidden="false" customHeight="true" outlineLevel="0" collapsed="false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3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</row>
    <row r="127" customFormat="false" ht="58.5" hidden="false" customHeight="true" outlineLevel="0" collapsed="false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3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</row>
    <row r="128" customFormat="false" ht="58.5" hidden="false" customHeight="true" outlineLevel="0" collapsed="false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3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</row>
    <row r="129" customFormat="false" ht="57.75" hidden="false" customHeight="true" outlineLevel="0" collapsed="false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3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</row>
    <row r="130" customFormat="false" ht="57.75" hidden="false" customHeight="true" outlineLevel="0" collapsed="false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3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</row>
    <row r="131" customFormat="false" ht="57.75" hidden="false" customHeight="true" outlineLevel="0" collapsed="false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3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</row>
    <row r="132" customFormat="false" ht="57.75" hidden="false" customHeight="true" outlineLevel="0" collapsed="false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3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</row>
    <row r="133" customFormat="false" ht="57.75" hidden="false" customHeight="true" outlineLevel="0" collapsed="false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3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</row>
    <row r="134" customFormat="false" ht="57.75" hidden="false" customHeight="true" outlineLevel="0" collapsed="false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3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</row>
    <row r="135" customFormat="false" ht="57.75" hidden="false" customHeight="true" outlineLevel="0" collapsed="false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3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</row>
    <row r="136" customFormat="false" ht="57.75" hidden="false" customHeight="true" outlineLevel="0" collapsed="false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3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</row>
    <row r="137" customFormat="false" ht="57.75" hidden="false" customHeight="true" outlineLevel="0" collapsed="false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3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</row>
    <row r="138" customFormat="false" ht="57.75" hidden="false" customHeight="true" outlineLevel="0" collapsed="false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3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</row>
    <row r="139" customFormat="false" ht="57.75" hidden="false" customHeight="true" outlineLevel="0" collapsed="false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3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</row>
    <row r="140" customFormat="false" ht="57.75" hidden="false" customHeight="true" outlineLevel="0" collapsed="false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3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</row>
    <row r="141" customFormat="false" ht="57.75" hidden="false" customHeight="true" outlineLevel="0" collapsed="false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3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</row>
    <row r="142" customFormat="false" ht="57.75" hidden="false" customHeight="true" outlineLevel="0" collapsed="false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3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</row>
    <row r="143" customFormat="false" ht="57.75" hidden="false" customHeight="true" outlineLevel="0" collapsed="false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3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</row>
    <row r="144" customFormat="false" ht="57.75" hidden="false" customHeight="true" outlineLevel="0" collapsed="false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3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</row>
    <row r="145" customFormat="false" ht="57.75" hidden="false" customHeight="true" outlineLevel="0" collapsed="false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3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</row>
    <row r="146" customFormat="false" ht="57.75" hidden="false" customHeight="true" outlineLevel="0" collapsed="false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3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</row>
    <row r="147" customFormat="false" ht="57.75" hidden="false" customHeight="true" outlineLevel="0" collapsed="false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3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</row>
    <row r="148" customFormat="false" ht="57.75" hidden="false" customHeight="true" outlineLevel="0" collapsed="false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3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</row>
    <row r="149" customFormat="false" ht="57.75" hidden="false" customHeight="true" outlineLevel="0" collapsed="false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3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 customFormat="false" ht="57.75" hidden="false" customHeight="true" outlineLevel="0" collapsed="false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3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</row>
    <row r="151" customFormat="false" ht="57.75" hidden="false" customHeight="true" outlineLevel="0" collapsed="false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3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</row>
    <row r="152" customFormat="false" ht="57.75" hidden="false" customHeight="true" outlineLevel="0" collapsed="false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3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</row>
    <row r="153" customFormat="false" ht="57.75" hidden="false" customHeight="true" outlineLevel="0" collapsed="false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3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</row>
    <row r="154" customFormat="false" ht="57.75" hidden="false" customHeight="true" outlineLevel="0" collapsed="false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3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</row>
    <row r="155" customFormat="false" ht="57.75" hidden="false" customHeight="true" outlineLevel="0" collapsed="false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3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</row>
    <row r="156" customFormat="false" ht="57.75" hidden="false" customHeight="true" outlineLevel="0" collapsed="false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3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</row>
    <row r="157" customFormat="false" ht="57.75" hidden="false" customHeight="true" outlineLevel="0" collapsed="false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3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</row>
    <row r="158" customFormat="false" ht="57.75" hidden="false" customHeight="true" outlineLevel="0" collapsed="false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3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</row>
    <row r="159" customFormat="false" ht="57.75" hidden="false" customHeight="true" outlineLevel="0" collapsed="false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3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</row>
    <row r="160" customFormat="false" ht="57.75" hidden="false" customHeight="true" outlineLevel="0" collapsed="false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3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customFormat="false" ht="57.75" hidden="false" customHeight="true" outlineLevel="0" collapsed="false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3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</row>
    <row r="162" customFormat="false" ht="57.75" hidden="false" customHeight="true" outlineLevel="0" collapsed="false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3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</row>
    <row r="163" customFormat="false" ht="57.75" hidden="false" customHeight="true" outlineLevel="0" collapsed="false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3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</row>
    <row r="164" customFormat="false" ht="57.75" hidden="false" customHeight="true" outlineLevel="0" collapsed="false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3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</row>
    <row r="165" customFormat="false" ht="57.75" hidden="false" customHeight="true" outlineLevel="0" collapsed="false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3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</row>
    <row r="166" customFormat="false" ht="57.75" hidden="false" customHeight="true" outlineLevel="0" collapsed="false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3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</row>
    <row r="167" customFormat="false" ht="57.75" hidden="false" customHeight="true" outlineLevel="0" collapsed="false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3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</row>
    <row r="168" customFormat="false" ht="57.75" hidden="false" customHeight="true" outlineLevel="0" collapsed="false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3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</row>
    <row r="169" customFormat="false" ht="57.75" hidden="false" customHeight="true" outlineLevel="0" collapsed="false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3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</row>
    <row r="170" customFormat="false" ht="57.75" hidden="false" customHeight="true" outlineLevel="0" collapsed="false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3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</row>
    <row r="171" customFormat="false" ht="57.75" hidden="false" customHeight="true" outlineLevel="0" collapsed="false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3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</row>
    <row r="172" customFormat="false" ht="57.75" hidden="false" customHeight="true" outlineLevel="0" collapsed="false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3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</row>
    <row r="173" customFormat="false" ht="57.75" hidden="false" customHeight="true" outlineLevel="0" collapsed="false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3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</row>
    <row r="174" customFormat="false" ht="57.75" hidden="false" customHeight="true" outlineLevel="0" collapsed="false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3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</row>
    <row r="175" customFormat="false" ht="57.75" hidden="false" customHeight="true" outlineLevel="0" collapsed="false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3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</row>
    <row r="176" customFormat="false" ht="57.75" hidden="false" customHeight="true" outlineLevel="0" collapsed="false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3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</row>
    <row r="177" customFormat="false" ht="57.75" hidden="false" customHeight="true" outlineLevel="0" collapsed="false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3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</row>
    <row r="178" customFormat="false" ht="57.75" hidden="false" customHeight="true" outlineLevel="0" collapsed="false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3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</row>
    <row r="179" customFormat="false" ht="57.75" hidden="false" customHeight="true" outlineLevel="0" collapsed="false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3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</row>
    <row r="180" customFormat="false" ht="57.75" hidden="false" customHeight="true" outlineLevel="0" collapsed="false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3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</row>
    <row r="181" customFormat="false" ht="57.75" hidden="false" customHeight="true" outlineLevel="0" collapsed="false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3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customFormat="false" ht="57.75" hidden="false" customHeight="true" outlineLevel="0" collapsed="false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3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</row>
    <row r="183" customFormat="false" ht="57.75" hidden="false" customHeight="true" outlineLevel="0" collapsed="false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3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</row>
    <row r="184" customFormat="false" ht="57.75" hidden="false" customHeight="true" outlineLevel="0" collapsed="false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3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</row>
    <row r="185" customFormat="false" ht="57.75" hidden="false" customHeight="true" outlineLevel="0" collapsed="false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3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</row>
    <row r="186" customFormat="false" ht="57.75" hidden="false" customHeight="true" outlineLevel="0" collapsed="false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3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</row>
    <row r="187" customFormat="false" ht="57.75" hidden="false" customHeight="true" outlineLevel="0" collapsed="false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3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</row>
    <row r="188" customFormat="false" ht="57.75" hidden="false" customHeight="true" outlineLevel="0" collapsed="false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3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</row>
    <row r="189" customFormat="false" ht="57.75" hidden="false" customHeight="true" outlineLevel="0" collapsed="false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3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</row>
    <row r="190" customFormat="false" ht="57.75" hidden="false" customHeight="true" outlineLevel="0" collapsed="false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3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</row>
    <row r="191" customFormat="false" ht="57.75" hidden="false" customHeight="true" outlineLevel="0" collapsed="false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3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</row>
    <row r="192" customFormat="false" ht="59.25" hidden="false" customHeight="true" outlineLevel="0" collapsed="false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3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</row>
    <row r="193" customFormat="false" ht="59.25" hidden="false" customHeight="true" outlineLevel="0" collapsed="false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3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</row>
    <row r="194" customFormat="false" ht="59.25" hidden="false" customHeight="true" outlineLevel="0" collapsed="false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3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</row>
    <row r="195" customFormat="false" ht="59.25" hidden="false" customHeight="true" outlineLevel="0" collapsed="false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3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</row>
    <row r="196" customFormat="false" ht="59.25" hidden="false" customHeight="true" outlineLevel="0" collapsed="false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3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</row>
    <row r="197" customFormat="false" ht="59.25" hidden="false" customHeight="true" outlineLevel="0" collapsed="false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3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</row>
    <row r="198" customFormat="false" ht="59.25" hidden="false" customHeight="true" outlineLevel="0" collapsed="false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3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</row>
    <row r="199" customFormat="false" ht="59.25" hidden="false" customHeight="true" outlineLevel="0" collapsed="false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3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</row>
    <row r="200" customFormat="false" ht="59.25" hidden="false" customHeight="true" outlineLevel="0" collapsed="false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3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</row>
    <row r="201" customFormat="false" ht="59.25" hidden="false" customHeight="true" outlineLevel="0" collapsed="false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3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</row>
    <row r="202" customFormat="false" ht="59.25" hidden="false" customHeight="true" outlineLevel="0" collapsed="false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3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</row>
    <row r="203" customFormat="false" ht="59.25" hidden="false" customHeight="true" outlineLevel="0" collapsed="false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3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</row>
    <row r="204" customFormat="false" ht="59.25" hidden="false" customHeight="true" outlineLevel="0" collapsed="false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3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</row>
    <row r="205" customFormat="false" ht="59.25" hidden="false" customHeight="true" outlineLevel="0" collapsed="false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3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</row>
    <row r="206" customFormat="false" ht="59.25" hidden="false" customHeight="true" outlineLevel="0" collapsed="false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3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</row>
    <row r="207" customFormat="false" ht="59.25" hidden="false" customHeight="true" outlineLevel="0" collapsed="false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3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</row>
    <row r="208" customFormat="false" ht="59.25" hidden="false" customHeight="true" outlineLevel="0" collapsed="false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3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</row>
    <row r="209" customFormat="false" ht="51" hidden="false" customHeight="true" outlineLevel="0" collapsed="false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3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</row>
    <row r="210" customFormat="false" ht="51" hidden="false" customHeight="true" outlineLevel="0" collapsed="false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3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</row>
    <row r="211" customFormat="false" ht="51" hidden="false" customHeight="true" outlineLevel="0" collapsed="false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3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</row>
    <row r="212" customFormat="false" ht="51" hidden="false" customHeight="true" outlineLevel="0" collapsed="false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3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</row>
    <row r="213" customFormat="false" ht="51" hidden="false" customHeight="true" outlineLevel="0" collapsed="false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3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</row>
    <row r="214" customFormat="false" ht="51" hidden="false" customHeight="true" outlineLevel="0" collapsed="false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3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</row>
    <row r="215" customFormat="false" ht="51" hidden="false" customHeight="true" outlineLevel="0" collapsed="false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3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</row>
    <row r="216" customFormat="false" ht="47.25" hidden="false" customHeight="true" outlineLevel="0" collapsed="false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3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</row>
    <row r="217" customFormat="false" ht="47.25" hidden="false" customHeight="true" outlineLevel="0" collapsed="false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3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</row>
    <row r="218" customFormat="false" ht="47.25" hidden="false" customHeight="true" outlineLevel="0" collapsed="false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3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</row>
    <row r="219" customFormat="false" ht="15.75" hidden="false" customHeight="true" outlineLevel="0" collapsed="false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3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</row>
    <row r="220" customFormat="false" ht="15.75" hidden="false" customHeight="true" outlineLevel="0" collapsed="false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3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</row>
    <row r="221" customFormat="false" ht="15.75" hidden="false" customHeight="true" outlineLevel="0" collapsed="false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3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</row>
    <row r="222" customFormat="false" ht="15.75" hidden="false" customHeight="true" outlineLevel="0" collapsed="false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3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</row>
    <row r="223" customFormat="false" ht="15.75" hidden="false" customHeight="true" outlineLevel="0" collapsed="false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3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</row>
    <row r="224" customFormat="false" ht="15.75" hidden="false" customHeight="true" outlineLevel="0" collapsed="false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3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</row>
    <row r="225" customFormat="false" ht="15.75" hidden="false" customHeight="true" outlineLevel="0" collapsed="false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3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</row>
    <row r="226" customFormat="false" ht="15.75" hidden="false" customHeight="true" outlineLevel="0" collapsed="false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3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</row>
    <row r="227" customFormat="false" ht="15.75" hidden="false" customHeight="true" outlineLevel="0" collapsed="false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3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</row>
    <row r="228" customFormat="false" ht="15.75" hidden="false" customHeight="true" outlineLevel="0" collapsed="false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3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</row>
    <row r="229" customFormat="false" ht="15.75" hidden="false" customHeight="true" outlineLevel="0" collapsed="false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3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</row>
    <row r="230" customFormat="false" ht="15.75" hidden="false" customHeight="true" outlineLevel="0" collapsed="false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3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</row>
    <row r="231" customFormat="false" ht="15.75" hidden="false" customHeight="true" outlineLevel="0" collapsed="false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3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</row>
    <row r="232" customFormat="false" ht="15.75" hidden="false" customHeight="true" outlineLevel="0" collapsed="false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3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</row>
    <row r="233" customFormat="false" ht="15.75" hidden="false" customHeight="true" outlineLevel="0" collapsed="false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3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</row>
    <row r="234" customFormat="false" ht="15.75" hidden="false" customHeight="true" outlineLevel="0" collapsed="false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3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</row>
    <row r="235" customFormat="false" ht="15.75" hidden="false" customHeight="true" outlineLevel="0" collapsed="false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3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</row>
    <row r="236" customFormat="false" ht="15.75" hidden="false" customHeight="true" outlineLevel="0" collapsed="false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3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</row>
    <row r="237" customFormat="false" ht="15.75" hidden="false" customHeight="true" outlineLevel="0" collapsed="false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3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</row>
    <row r="238" customFormat="false" ht="15.75" hidden="false" customHeight="true" outlineLevel="0" collapsed="false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3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</row>
    <row r="239" customFormat="false" ht="15.75" hidden="false" customHeight="true" outlineLevel="0" collapsed="false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3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</row>
    <row r="240" customFormat="false" ht="15.75" hidden="false" customHeight="true" outlineLevel="0" collapsed="false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3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</row>
    <row r="241" customFormat="false" ht="15.75" hidden="false" customHeight="true" outlineLevel="0" collapsed="false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3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</row>
    <row r="242" customFormat="false" ht="15.75" hidden="false" customHeight="true" outlineLevel="0" collapsed="false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3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</row>
    <row r="243" customFormat="false" ht="15.75" hidden="false" customHeight="true" outlineLevel="0" collapsed="false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3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</row>
    <row r="244" customFormat="false" ht="15.75" hidden="false" customHeight="true" outlineLevel="0" collapsed="false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3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</row>
    <row r="245" customFormat="false" ht="15.75" hidden="false" customHeight="true" outlineLevel="0" collapsed="false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3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</row>
    <row r="246" customFormat="false" ht="15.75" hidden="false" customHeight="true" outlineLevel="0" collapsed="false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3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</row>
    <row r="247" customFormat="false" ht="15.75" hidden="false" customHeight="true" outlineLevel="0" collapsed="false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3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</row>
    <row r="248" customFormat="false" ht="15.75" hidden="false" customHeight="true" outlineLevel="0" collapsed="false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3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</row>
    <row r="249" customFormat="false" ht="15.75" hidden="false" customHeight="true" outlineLevel="0" collapsed="false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3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</row>
    <row r="250" customFormat="false" ht="15.75" hidden="false" customHeight="true" outlineLevel="0" collapsed="false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3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</row>
    <row r="251" customFormat="false" ht="15.75" hidden="false" customHeight="true" outlineLevel="0" collapsed="false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3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</row>
    <row r="252" customFormat="false" ht="15.75" hidden="false" customHeight="true" outlineLevel="0" collapsed="false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3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</row>
    <row r="253" customFormat="false" ht="15.75" hidden="false" customHeight="true" outlineLevel="0" collapsed="false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3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</row>
    <row r="254" customFormat="false" ht="15.75" hidden="false" customHeight="true" outlineLevel="0" collapsed="false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3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</row>
    <row r="255" customFormat="false" ht="15.75" hidden="false" customHeight="true" outlineLevel="0" collapsed="false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3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</row>
    <row r="256" customFormat="false" ht="15.75" hidden="false" customHeight="true" outlineLevel="0" collapsed="false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3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</row>
    <row r="257" customFormat="false" ht="15.75" hidden="false" customHeight="true" outlineLevel="0" collapsed="false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3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</row>
    <row r="258" customFormat="false" ht="15.75" hidden="false" customHeight="true" outlineLevel="0" collapsed="false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3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</row>
    <row r="259" customFormat="false" ht="15.75" hidden="false" customHeight="true" outlineLevel="0" collapsed="false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3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</row>
    <row r="260" customFormat="false" ht="15.75" hidden="false" customHeight="true" outlineLevel="0" collapsed="false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3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</row>
    <row r="261" customFormat="false" ht="15.75" hidden="false" customHeight="true" outlineLevel="0" collapsed="false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3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</row>
    <row r="262" customFormat="false" ht="15.75" hidden="false" customHeight="true" outlineLevel="0" collapsed="false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3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</row>
    <row r="263" customFormat="false" ht="15.75" hidden="false" customHeight="true" outlineLevel="0" collapsed="false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3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</row>
    <row r="264" customFormat="false" ht="15.75" hidden="false" customHeight="true" outlineLevel="0" collapsed="false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3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</row>
    <row r="265" customFormat="false" ht="15.75" hidden="false" customHeight="true" outlineLevel="0" collapsed="false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3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</row>
    <row r="266" customFormat="false" ht="15.75" hidden="false" customHeight="true" outlineLevel="0" collapsed="false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3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</row>
    <row r="267" customFormat="false" ht="15.75" hidden="false" customHeight="true" outlineLevel="0" collapsed="false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3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</row>
    <row r="268" customFormat="false" ht="15.75" hidden="false" customHeight="true" outlineLevel="0" collapsed="false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3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</row>
    <row r="269" customFormat="false" ht="15.75" hidden="false" customHeight="true" outlineLevel="0" collapsed="false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3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</row>
    <row r="270" customFormat="false" ht="15.75" hidden="false" customHeight="true" outlineLevel="0" collapsed="false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3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</row>
    <row r="271" customFormat="false" ht="15.75" hidden="false" customHeight="true" outlineLevel="0" collapsed="false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3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</row>
    <row r="272" customFormat="false" ht="15.75" hidden="false" customHeight="true" outlineLevel="0" collapsed="false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3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</row>
    <row r="273" customFormat="false" ht="15.75" hidden="false" customHeight="true" outlineLevel="0" collapsed="false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3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</row>
    <row r="274" customFormat="false" ht="15.75" hidden="false" customHeight="true" outlineLevel="0" collapsed="false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3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</row>
    <row r="275" customFormat="false" ht="15.75" hidden="false" customHeight="true" outlineLevel="0" collapsed="false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3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</row>
    <row r="276" customFormat="false" ht="15.75" hidden="false" customHeight="true" outlineLevel="0" collapsed="false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3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</row>
    <row r="277" customFormat="false" ht="15.75" hidden="false" customHeight="true" outlineLevel="0" collapsed="false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3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</row>
    <row r="278" customFormat="false" ht="15.75" hidden="false" customHeight="true" outlineLevel="0" collapsed="false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3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</row>
    <row r="279" customFormat="false" ht="15.75" hidden="false" customHeight="true" outlineLevel="0" collapsed="false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3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</row>
    <row r="280" customFormat="false" ht="15.75" hidden="false" customHeight="true" outlineLevel="0" collapsed="false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3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</row>
    <row r="281" customFormat="false" ht="15.75" hidden="false" customHeight="true" outlineLevel="0" collapsed="false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3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</row>
    <row r="282" customFormat="false" ht="15.75" hidden="false" customHeight="true" outlineLevel="0" collapsed="false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3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</row>
    <row r="283" customFormat="false" ht="15.75" hidden="false" customHeight="true" outlineLevel="0" collapsed="false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3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</row>
    <row r="284" customFormat="false" ht="15.75" hidden="false" customHeight="true" outlineLevel="0" collapsed="false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3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</row>
    <row r="285" customFormat="false" ht="15.75" hidden="false" customHeight="true" outlineLevel="0" collapsed="false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3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</row>
    <row r="286" customFormat="false" ht="15.75" hidden="false" customHeight="true" outlineLevel="0" collapsed="false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3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</row>
    <row r="287" customFormat="false" ht="15.75" hidden="false" customHeight="true" outlineLevel="0" collapsed="false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3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</row>
    <row r="288" customFormat="false" ht="15.75" hidden="false" customHeight="true" outlineLevel="0" collapsed="false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3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</row>
    <row r="289" customFormat="false" ht="15.75" hidden="false" customHeight="true" outlineLevel="0" collapsed="false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3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</row>
    <row r="290" customFormat="false" ht="15.75" hidden="false" customHeight="true" outlineLevel="0" collapsed="false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3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</row>
    <row r="291" customFormat="false" ht="15.75" hidden="false" customHeight="true" outlineLevel="0" collapsed="false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3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</row>
    <row r="292" customFormat="false" ht="15.75" hidden="false" customHeight="true" outlineLevel="0" collapsed="false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3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</row>
    <row r="293" customFormat="false" ht="15.75" hidden="false" customHeight="true" outlineLevel="0" collapsed="false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3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</row>
    <row r="294" customFormat="false" ht="15.75" hidden="false" customHeight="true" outlineLevel="0" collapsed="false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3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</row>
    <row r="295" customFormat="false" ht="15.75" hidden="false" customHeight="true" outlineLevel="0" collapsed="false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3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</row>
    <row r="296" customFormat="false" ht="15.75" hidden="false" customHeight="true" outlineLevel="0" collapsed="false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3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</row>
    <row r="297" customFormat="false" ht="15.75" hidden="false" customHeight="true" outlineLevel="0" collapsed="false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3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</row>
    <row r="298" customFormat="false" ht="15.75" hidden="false" customHeight="true" outlineLevel="0" collapsed="false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3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</row>
    <row r="299" customFormat="false" ht="15.75" hidden="false" customHeight="true" outlineLevel="0" collapsed="false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3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</row>
    <row r="300" customFormat="false" ht="15.75" hidden="false" customHeight="true" outlineLevel="0" collapsed="false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3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</row>
    <row r="301" customFormat="false" ht="15.75" hidden="false" customHeight="true" outlineLevel="0" collapsed="false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3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</row>
    <row r="302" customFormat="false" ht="15.75" hidden="false" customHeight="true" outlineLevel="0" collapsed="false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3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</row>
    <row r="303" customFormat="false" ht="15.75" hidden="false" customHeight="true" outlineLevel="0" collapsed="false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3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</row>
    <row r="304" customFormat="false" ht="15.75" hidden="false" customHeight="true" outlineLevel="0" collapsed="false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3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</row>
    <row r="305" customFormat="false" ht="15.75" hidden="false" customHeight="true" outlineLevel="0" collapsed="false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3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</row>
    <row r="306" customFormat="false" ht="15.75" hidden="false" customHeight="true" outlineLevel="0" collapsed="false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3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</row>
    <row r="307" customFormat="false" ht="15.75" hidden="false" customHeight="true" outlineLevel="0" collapsed="false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3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</row>
    <row r="308" customFormat="false" ht="15.75" hidden="false" customHeight="true" outlineLevel="0" collapsed="false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3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</row>
    <row r="309" customFormat="false" ht="15.75" hidden="false" customHeight="true" outlineLevel="0" collapsed="false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3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</row>
    <row r="310" customFormat="false" ht="15.75" hidden="false" customHeight="true" outlineLevel="0" collapsed="false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3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</row>
    <row r="311" customFormat="false" ht="15.75" hidden="false" customHeight="true" outlineLevel="0" collapsed="false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3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</row>
    <row r="312" customFormat="false" ht="15.75" hidden="false" customHeight="true" outlineLevel="0" collapsed="false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3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</row>
    <row r="313" customFormat="false" ht="15.75" hidden="false" customHeight="true" outlineLevel="0" collapsed="false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3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</row>
    <row r="314" customFormat="false" ht="15.75" hidden="false" customHeight="true" outlineLevel="0" collapsed="false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3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</row>
    <row r="315" customFormat="false" ht="15.75" hidden="false" customHeight="true" outlineLevel="0" collapsed="false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3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</row>
    <row r="316" customFormat="false" ht="15.75" hidden="false" customHeight="true" outlineLevel="0" collapsed="false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3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</row>
    <row r="317" customFormat="false" ht="15.75" hidden="false" customHeight="true" outlineLevel="0" collapsed="false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3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</row>
    <row r="318" customFormat="false" ht="15.75" hidden="false" customHeight="true" outlineLevel="0" collapsed="false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3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</row>
    <row r="319" customFormat="false" ht="15.75" hidden="false" customHeight="true" outlineLevel="0" collapsed="false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3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</row>
    <row r="320" customFormat="false" ht="15.75" hidden="false" customHeight="true" outlineLevel="0" collapsed="false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3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</row>
    <row r="321" customFormat="false" ht="15.75" hidden="false" customHeight="true" outlineLevel="0" collapsed="false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3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</row>
    <row r="322" customFormat="false" ht="15.75" hidden="false" customHeight="true" outlineLevel="0" collapsed="false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3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</row>
    <row r="323" customFormat="false" ht="15.75" hidden="false" customHeight="true" outlineLevel="0" collapsed="false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3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</row>
    <row r="324" customFormat="false" ht="15.75" hidden="false" customHeight="true" outlineLevel="0" collapsed="false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3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</row>
    <row r="325" customFormat="false" ht="15.75" hidden="false" customHeight="true" outlineLevel="0" collapsed="false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3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</row>
    <row r="326" customFormat="false" ht="15.75" hidden="false" customHeight="true" outlineLevel="0" collapsed="false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3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</row>
    <row r="327" customFormat="false" ht="15.75" hidden="false" customHeight="true" outlineLevel="0" collapsed="false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3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</row>
    <row r="328" customFormat="false" ht="15.75" hidden="false" customHeight="true" outlineLevel="0" collapsed="false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3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</row>
    <row r="329" customFormat="false" ht="15.75" hidden="false" customHeight="true" outlineLevel="0" collapsed="false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3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</row>
    <row r="330" customFormat="false" ht="15.75" hidden="false" customHeight="true" outlineLevel="0" collapsed="false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3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</row>
    <row r="331" customFormat="false" ht="15.75" hidden="false" customHeight="true" outlineLevel="0" collapsed="false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3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</row>
    <row r="332" customFormat="false" ht="15.75" hidden="false" customHeight="true" outlineLevel="0" collapsed="false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3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</row>
    <row r="333" customFormat="false" ht="15.75" hidden="false" customHeight="true" outlineLevel="0" collapsed="false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3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</row>
    <row r="334" customFormat="false" ht="15.75" hidden="false" customHeight="true" outlineLevel="0" collapsed="false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3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</row>
    <row r="335" customFormat="false" ht="15.75" hidden="false" customHeight="true" outlineLevel="0" collapsed="false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3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</row>
    <row r="336" customFormat="false" ht="15.75" hidden="false" customHeight="true" outlineLevel="0" collapsed="false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3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</row>
    <row r="337" customFormat="false" ht="15.75" hidden="false" customHeight="true" outlineLevel="0" collapsed="false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3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</row>
    <row r="338" customFormat="false" ht="15.75" hidden="false" customHeight="true" outlineLevel="0" collapsed="false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3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</row>
    <row r="339" customFormat="false" ht="15.75" hidden="false" customHeight="true" outlineLevel="0" collapsed="false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3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</row>
    <row r="340" customFormat="false" ht="15.75" hidden="false" customHeight="true" outlineLevel="0" collapsed="false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3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</row>
    <row r="341" customFormat="false" ht="15.75" hidden="false" customHeight="true" outlineLevel="0" collapsed="false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3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</row>
    <row r="342" customFormat="false" ht="15.75" hidden="false" customHeight="true" outlineLevel="0" collapsed="false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3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</row>
    <row r="343" customFormat="false" ht="15.75" hidden="false" customHeight="true" outlineLevel="0" collapsed="false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3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</row>
    <row r="344" customFormat="false" ht="15.75" hidden="false" customHeight="true" outlineLevel="0" collapsed="false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3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</row>
    <row r="345" customFormat="false" ht="15.75" hidden="false" customHeight="true" outlineLevel="0" collapsed="false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3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</row>
    <row r="346" customFormat="false" ht="15.75" hidden="false" customHeight="true" outlineLevel="0" collapsed="false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3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</row>
    <row r="347" customFormat="false" ht="15.75" hidden="false" customHeight="true" outlineLevel="0" collapsed="false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3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</row>
    <row r="348" customFormat="false" ht="15.75" hidden="false" customHeight="true" outlineLevel="0" collapsed="false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3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</row>
    <row r="349" customFormat="false" ht="15.75" hidden="false" customHeight="true" outlineLevel="0" collapsed="false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3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</row>
    <row r="350" customFormat="false" ht="15.75" hidden="false" customHeight="true" outlineLevel="0" collapsed="false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3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</row>
    <row r="351" customFormat="false" ht="15.75" hidden="false" customHeight="true" outlineLevel="0" collapsed="false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3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</row>
    <row r="352" customFormat="false" ht="15.75" hidden="false" customHeight="true" outlineLevel="0" collapsed="false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3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</row>
    <row r="353" customFormat="false" ht="15.75" hidden="false" customHeight="true" outlineLevel="0" collapsed="false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3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</row>
    <row r="354" customFormat="false" ht="15.75" hidden="false" customHeight="true" outlineLevel="0" collapsed="false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3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</row>
    <row r="355" customFormat="false" ht="15.75" hidden="false" customHeight="true" outlineLevel="0" collapsed="false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3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</row>
    <row r="356" customFormat="false" ht="15.75" hidden="false" customHeight="true" outlineLevel="0" collapsed="false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3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</row>
    <row r="357" customFormat="false" ht="15.75" hidden="false" customHeight="true" outlineLevel="0" collapsed="false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3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</row>
    <row r="358" customFormat="false" ht="15.75" hidden="false" customHeight="true" outlineLevel="0" collapsed="false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3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</row>
    <row r="359" customFormat="false" ht="15.75" hidden="false" customHeight="true" outlineLevel="0" collapsed="false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3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</row>
    <row r="360" customFormat="false" ht="15.75" hidden="false" customHeight="true" outlineLevel="0" collapsed="false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3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</row>
    <row r="361" customFormat="false" ht="15.75" hidden="false" customHeight="true" outlineLevel="0" collapsed="false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3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</row>
    <row r="362" customFormat="false" ht="15.75" hidden="false" customHeight="true" outlineLevel="0" collapsed="false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3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</row>
    <row r="363" customFormat="false" ht="15.75" hidden="false" customHeight="true" outlineLevel="0" collapsed="false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3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</row>
    <row r="364" customFormat="false" ht="15.75" hidden="false" customHeight="true" outlineLevel="0" collapsed="false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3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</row>
    <row r="365" customFormat="false" ht="15.75" hidden="false" customHeight="true" outlineLevel="0" collapsed="false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3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</row>
    <row r="366" customFormat="false" ht="15.75" hidden="false" customHeight="true" outlineLevel="0" collapsed="false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3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</row>
    <row r="367" customFormat="false" ht="15.75" hidden="false" customHeight="true" outlineLevel="0" collapsed="false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3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</row>
    <row r="368" customFormat="false" ht="15.75" hidden="false" customHeight="true" outlineLevel="0" collapsed="false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3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</row>
    <row r="369" customFormat="false" ht="15.75" hidden="false" customHeight="true" outlineLevel="0" collapsed="false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3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</row>
    <row r="370" customFormat="false" ht="15.75" hidden="false" customHeight="true" outlineLevel="0" collapsed="false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3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</row>
    <row r="371" customFormat="false" ht="15.75" hidden="false" customHeight="true" outlineLevel="0" collapsed="false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3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</row>
    <row r="372" customFormat="false" ht="15.75" hidden="false" customHeight="true" outlineLevel="0" collapsed="false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3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</row>
    <row r="373" customFormat="false" ht="15.75" hidden="false" customHeight="true" outlineLevel="0" collapsed="false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3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</row>
    <row r="374" customFormat="false" ht="15.75" hidden="false" customHeight="true" outlineLevel="0" collapsed="false">
      <c r="A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</row>
    <row r="375" customFormat="false" ht="15.75" hidden="false" customHeight="true" outlineLevel="0" collapsed="false">
      <c r="A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</row>
    <row r="376" customFormat="false" ht="15.75" hidden="false" customHeight="true" outlineLevel="0" collapsed="false">
      <c r="A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</row>
    <row r="377" customFormat="false" ht="15.75" hidden="false" customHeight="true" outlineLevel="0" collapsed="false">
      <c r="A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</row>
    <row r="378" customFormat="false" ht="15.75" hidden="false" customHeight="true" outlineLevel="0" collapsed="false">
      <c r="A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</row>
    <row r="379" customFormat="false" ht="15.75" hidden="false" customHeight="true" outlineLevel="0" collapsed="false">
      <c r="A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</row>
    <row r="380" customFormat="false" ht="15.75" hidden="false" customHeight="true" outlineLevel="0" collapsed="false">
      <c r="A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</row>
    <row r="381" customFormat="false" ht="15.75" hidden="false" customHeight="true" outlineLevel="0" collapsed="false">
      <c r="A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</row>
    <row r="382" customFormat="false" ht="15.75" hidden="false" customHeight="true" outlineLevel="0" collapsed="false">
      <c r="A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</row>
    <row r="383" customFormat="false" ht="15.75" hidden="false" customHeight="true" outlineLevel="0" collapsed="false">
      <c r="A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</row>
    <row r="384" customFormat="false" ht="15.75" hidden="false" customHeight="true" outlineLevel="0" collapsed="false">
      <c r="A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</row>
    <row r="385" customFormat="false" ht="15.75" hidden="false" customHeight="true" outlineLevel="0" collapsed="false">
      <c r="A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</row>
    <row r="386" customFormat="false" ht="15.75" hidden="false" customHeight="true" outlineLevel="0" collapsed="false">
      <c r="A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</row>
    <row r="387" customFormat="false" ht="15.75" hidden="false" customHeight="true" outlineLevel="0" collapsed="false">
      <c r="A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</row>
    <row r="388" customFormat="false" ht="15.75" hidden="false" customHeight="true" outlineLevel="0" collapsed="false">
      <c r="A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</row>
    <row r="389" customFormat="false" ht="15.75" hidden="false" customHeight="true" outlineLevel="0" collapsed="false">
      <c r="A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</row>
    <row r="390" customFormat="false" ht="15.75" hidden="false" customHeight="true" outlineLevel="0" collapsed="false">
      <c r="A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</row>
    <row r="391" customFormat="false" ht="15.75" hidden="false" customHeight="true" outlineLevel="0" collapsed="false">
      <c r="A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</row>
    <row r="392" customFormat="false" ht="15.75" hidden="false" customHeight="true" outlineLevel="0" collapsed="false">
      <c r="A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</row>
    <row r="393" customFormat="false" ht="15.75" hidden="false" customHeight="true" outlineLevel="0" collapsed="false">
      <c r="A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</row>
    <row r="394" customFormat="false" ht="15.75" hidden="false" customHeight="true" outlineLevel="0" collapsed="false">
      <c r="A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</row>
    <row r="395" customFormat="false" ht="15.75" hidden="false" customHeight="true" outlineLevel="0" collapsed="false">
      <c r="A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</row>
    <row r="396" customFormat="false" ht="15.75" hidden="false" customHeight="true" outlineLevel="0" collapsed="false">
      <c r="A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</row>
    <row r="397" customFormat="false" ht="15.75" hidden="false" customHeight="true" outlineLevel="0" collapsed="false">
      <c r="A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</row>
    <row r="398" customFormat="false" ht="15.75" hidden="false" customHeight="true" outlineLevel="0" collapsed="false">
      <c r="A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</row>
    <row r="399" customFormat="false" ht="15.75" hidden="false" customHeight="true" outlineLevel="0" collapsed="false">
      <c r="A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</row>
    <row r="400" customFormat="false" ht="15.75" hidden="false" customHeight="true" outlineLevel="0" collapsed="false">
      <c r="A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</row>
    <row r="401" customFormat="false" ht="15.75" hidden="false" customHeight="true" outlineLevel="0" collapsed="false"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</row>
    <row r="402" customFormat="false" ht="15.75" hidden="false" customHeight="true" outlineLevel="0" collapsed="false"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</row>
    <row r="403" customFormat="false" ht="15.75" hidden="false" customHeight="true" outlineLevel="0" collapsed="false"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</row>
    <row r="404" customFormat="false" ht="15.75" hidden="false" customHeight="true" outlineLevel="0" collapsed="false"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</row>
    <row r="405" customFormat="false" ht="15.75" hidden="false" customHeight="true" outlineLevel="0" collapsed="false"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</row>
    <row r="406" customFormat="false" ht="15.75" hidden="false" customHeight="true" outlineLevel="0" collapsed="false"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</row>
    <row r="407" customFormat="false" ht="15.75" hidden="false" customHeight="true" outlineLevel="0" collapsed="false"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</row>
    <row r="408" customFormat="false" ht="15.75" hidden="false" customHeight="true" outlineLevel="0" collapsed="false"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</row>
    <row r="409" customFormat="false" ht="15.75" hidden="false" customHeight="true" outlineLevel="0" collapsed="false"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</row>
    <row r="410" customFormat="false" ht="15.75" hidden="false" customHeight="true" outlineLevel="0" collapsed="false"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</row>
    <row r="411" customFormat="false" ht="15.75" hidden="false" customHeight="true" outlineLevel="0" collapsed="false"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</row>
    <row r="412" customFormat="false" ht="15.75" hidden="false" customHeight="true" outlineLevel="0" collapsed="false"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</row>
    <row r="413" customFormat="false" ht="15.75" hidden="false" customHeight="true" outlineLevel="0" collapsed="false"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</row>
    <row r="414" customFormat="false" ht="15.75" hidden="false" customHeight="true" outlineLevel="0" collapsed="false"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</row>
    <row r="415" customFormat="false" ht="15.75" hidden="false" customHeight="true" outlineLevel="0" collapsed="false"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</row>
    <row r="416" customFormat="false" ht="15.75" hidden="false" customHeight="true" outlineLevel="0" collapsed="false"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</row>
    <row r="417" customFormat="false" ht="15.75" hidden="false" customHeight="true" outlineLevel="0" collapsed="false"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</row>
    <row r="418" customFormat="false" ht="15.75" hidden="false" customHeight="true" outlineLevel="0" collapsed="false"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</row>
    <row r="419" customFormat="false" ht="15.75" hidden="false" customHeight="true" outlineLevel="0" collapsed="false"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</row>
    <row r="420" customFormat="false" ht="15.75" hidden="false" customHeight="true" outlineLevel="0" collapsed="false"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</row>
    <row r="421" customFormat="false" ht="15.75" hidden="false" customHeight="true" outlineLevel="0" collapsed="false"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</row>
    <row r="422" customFormat="false" ht="15.75" hidden="false" customHeight="true" outlineLevel="0" collapsed="false"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</row>
    <row r="423" customFormat="false" ht="15.75" hidden="false" customHeight="true" outlineLevel="0" collapsed="false"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</row>
    <row r="424" customFormat="false" ht="15.75" hidden="false" customHeight="true" outlineLevel="0" collapsed="false"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</row>
    <row r="425" customFormat="false" ht="15.75" hidden="false" customHeight="true" outlineLevel="0" collapsed="false"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</row>
    <row r="426" customFormat="false" ht="15.75" hidden="false" customHeight="true" outlineLevel="0" collapsed="false"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</row>
    <row r="427" customFormat="false" ht="15.75" hidden="false" customHeight="true" outlineLevel="0" collapsed="false"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</row>
    <row r="428" customFormat="false" ht="15.75" hidden="false" customHeight="true" outlineLevel="0" collapsed="false"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</row>
    <row r="429" customFormat="false" ht="15.75" hidden="false" customHeight="true" outlineLevel="0" collapsed="false"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</row>
    <row r="430" customFormat="false" ht="15.75" hidden="false" customHeight="true" outlineLevel="0" collapsed="false"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</row>
    <row r="431" customFormat="false" ht="15.75" hidden="false" customHeight="true" outlineLevel="0" collapsed="false"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</row>
    <row r="432" customFormat="false" ht="15.75" hidden="false" customHeight="true" outlineLevel="0" collapsed="false"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</row>
    <row r="433" customFormat="false" ht="15.75" hidden="false" customHeight="true" outlineLevel="0" collapsed="false"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</row>
    <row r="434" customFormat="false" ht="15.75" hidden="false" customHeight="true" outlineLevel="0" collapsed="false"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</row>
    <row r="435" customFormat="false" ht="15.75" hidden="false" customHeight="true" outlineLevel="0" collapsed="false"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</row>
    <row r="436" customFormat="false" ht="15.75" hidden="false" customHeight="true" outlineLevel="0" collapsed="false"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</row>
    <row r="437" customFormat="false" ht="15.75" hidden="false" customHeight="true" outlineLevel="0" collapsed="false"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</row>
    <row r="438" customFormat="false" ht="15.75" hidden="false" customHeight="true" outlineLevel="0" collapsed="false"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</row>
    <row r="439" customFormat="false" ht="15.75" hidden="false" customHeight="true" outlineLevel="0" collapsed="false"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</row>
    <row r="440" customFormat="false" ht="15.75" hidden="false" customHeight="true" outlineLevel="0" collapsed="false"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</row>
    <row r="441" customFormat="false" ht="15.75" hidden="false" customHeight="true" outlineLevel="0" collapsed="false"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</row>
    <row r="442" customFormat="false" ht="15.75" hidden="false" customHeight="true" outlineLevel="0" collapsed="false"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</row>
    <row r="443" customFormat="false" ht="15.75" hidden="false" customHeight="true" outlineLevel="0" collapsed="false"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</row>
    <row r="444" customFormat="false" ht="15.75" hidden="false" customHeight="true" outlineLevel="0" collapsed="false"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</row>
    <row r="445" customFormat="false" ht="15.75" hidden="false" customHeight="true" outlineLevel="0" collapsed="false"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</row>
    <row r="446" customFormat="false" ht="15.75" hidden="false" customHeight="true" outlineLevel="0" collapsed="false"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</row>
    <row r="447" customFormat="false" ht="15.75" hidden="false" customHeight="true" outlineLevel="0" collapsed="false"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</row>
    <row r="448" customFormat="false" ht="15.75" hidden="false" customHeight="true" outlineLevel="0" collapsed="false"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</row>
    <row r="449" customFormat="false" ht="15.75" hidden="false" customHeight="true" outlineLevel="0" collapsed="false"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</row>
    <row r="450" customFormat="false" ht="15.75" hidden="false" customHeight="true" outlineLevel="0" collapsed="false"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</row>
    <row r="451" customFormat="false" ht="15.75" hidden="false" customHeight="true" outlineLevel="0" collapsed="false"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</row>
    <row r="452" customFormat="false" ht="15.75" hidden="false" customHeight="true" outlineLevel="0" collapsed="false"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</row>
    <row r="453" customFormat="false" ht="15.75" hidden="false" customHeight="true" outlineLevel="0" collapsed="false"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</row>
    <row r="454" customFormat="false" ht="15.75" hidden="false" customHeight="true" outlineLevel="0" collapsed="false"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</row>
    <row r="455" customFormat="false" ht="15.75" hidden="false" customHeight="true" outlineLevel="0" collapsed="false"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</row>
    <row r="456" customFormat="false" ht="15.75" hidden="false" customHeight="true" outlineLevel="0" collapsed="false"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</row>
    <row r="457" customFormat="false" ht="15.75" hidden="false" customHeight="true" outlineLevel="0" collapsed="false"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</row>
    <row r="458" customFormat="false" ht="15.75" hidden="false" customHeight="true" outlineLevel="0" collapsed="false"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</row>
    <row r="459" customFormat="false" ht="15.75" hidden="false" customHeight="true" outlineLevel="0" collapsed="false"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</row>
    <row r="460" customFormat="false" ht="15.75" hidden="false" customHeight="true" outlineLevel="0" collapsed="false"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</row>
    <row r="461" customFormat="false" ht="15.75" hidden="false" customHeight="true" outlineLevel="0" collapsed="false"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</row>
    <row r="462" customFormat="false" ht="15.75" hidden="false" customHeight="true" outlineLevel="0" collapsed="false"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</row>
    <row r="463" customFormat="false" ht="15.75" hidden="false" customHeight="true" outlineLevel="0" collapsed="false"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</row>
    <row r="464" customFormat="false" ht="15.75" hidden="false" customHeight="true" outlineLevel="0" collapsed="false"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</row>
    <row r="465" customFormat="false" ht="15.75" hidden="false" customHeight="true" outlineLevel="0" collapsed="false"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</row>
    <row r="466" customFormat="false" ht="15.75" hidden="false" customHeight="true" outlineLevel="0" collapsed="false"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</row>
    <row r="467" customFormat="false" ht="15.75" hidden="false" customHeight="true" outlineLevel="0" collapsed="false"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</row>
    <row r="468" customFormat="false" ht="15.75" hidden="false" customHeight="true" outlineLevel="0" collapsed="false"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</row>
    <row r="469" customFormat="false" ht="15.75" hidden="false" customHeight="true" outlineLevel="0" collapsed="false"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</row>
    <row r="470" customFormat="false" ht="15.75" hidden="false" customHeight="true" outlineLevel="0" collapsed="false"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</row>
    <row r="471" customFormat="false" ht="15.75" hidden="false" customHeight="true" outlineLevel="0" collapsed="false"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</row>
    <row r="472" customFormat="false" ht="15.75" hidden="false" customHeight="true" outlineLevel="0" collapsed="false"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</row>
    <row r="473" customFormat="false" ht="15.75" hidden="false" customHeight="true" outlineLevel="0" collapsed="false"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</row>
    <row r="474" customFormat="false" ht="15.75" hidden="false" customHeight="true" outlineLevel="0" collapsed="false"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</row>
    <row r="475" customFormat="false" ht="15.75" hidden="false" customHeight="true" outlineLevel="0" collapsed="false"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</row>
    <row r="476" customFormat="false" ht="15.75" hidden="false" customHeight="true" outlineLevel="0" collapsed="false"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</row>
    <row r="477" customFormat="false" ht="15.75" hidden="false" customHeight="true" outlineLevel="0" collapsed="false"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</row>
    <row r="478" customFormat="false" ht="15.75" hidden="false" customHeight="true" outlineLevel="0" collapsed="false"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</row>
    <row r="479" customFormat="false" ht="15.75" hidden="false" customHeight="true" outlineLevel="0" collapsed="false"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</row>
    <row r="480" customFormat="false" ht="15.75" hidden="false" customHeight="true" outlineLevel="0" collapsed="false"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</row>
    <row r="481" customFormat="false" ht="15.75" hidden="false" customHeight="true" outlineLevel="0" collapsed="false"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</row>
    <row r="482" customFormat="false" ht="15.75" hidden="false" customHeight="true" outlineLevel="0" collapsed="false"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</row>
    <row r="483" customFormat="false" ht="15.75" hidden="false" customHeight="true" outlineLevel="0" collapsed="false"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</row>
    <row r="484" customFormat="false" ht="15.75" hidden="false" customHeight="true" outlineLevel="0" collapsed="false"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</row>
    <row r="485" customFormat="false" ht="15.75" hidden="false" customHeight="true" outlineLevel="0" collapsed="false"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</row>
    <row r="486" customFormat="false" ht="15.75" hidden="false" customHeight="true" outlineLevel="0" collapsed="false"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</row>
    <row r="487" customFormat="false" ht="15.75" hidden="false" customHeight="true" outlineLevel="0" collapsed="false"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</row>
    <row r="488" customFormat="false" ht="15.75" hidden="false" customHeight="true" outlineLevel="0" collapsed="false"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</row>
    <row r="489" customFormat="false" ht="15.75" hidden="false" customHeight="true" outlineLevel="0" collapsed="false"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</row>
    <row r="490" customFormat="false" ht="15.75" hidden="false" customHeight="true" outlineLevel="0" collapsed="false"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</row>
    <row r="491" customFormat="false" ht="15.75" hidden="false" customHeight="true" outlineLevel="0" collapsed="false"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</row>
    <row r="492" customFormat="false" ht="15.75" hidden="false" customHeight="true" outlineLevel="0" collapsed="false"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</row>
    <row r="493" customFormat="false" ht="15.75" hidden="false" customHeight="true" outlineLevel="0" collapsed="false"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</row>
    <row r="494" customFormat="false" ht="15.75" hidden="false" customHeight="true" outlineLevel="0" collapsed="false"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</row>
    <row r="495" customFormat="false" ht="15.75" hidden="false" customHeight="true" outlineLevel="0" collapsed="false"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</row>
    <row r="496" customFormat="false" ht="15.75" hidden="false" customHeight="true" outlineLevel="0" collapsed="false"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</row>
    <row r="497" customFormat="false" ht="15.75" hidden="false" customHeight="true" outlineLevel="0" collapsed="false"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</row>
    <row r="498" customFormat="false" ht="15.75" hidden="false" customHeight="true" outlineLevel="0" collapsed="false"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</row>
    <row r="499" customFormat="false" ht="15.75" hidden="false" customHeight="true" outlineLevel="0" collapsed="false"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</row>
    <row r="500" customFormat="false" ht="15.75" hidden="false" customHeight="true" outlineLevel="0" collapsed="false"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</row>
    <row r="501" customFormat="false" ht="15.75" hidden="false" customHeight="true" outlineLevel="0" collapsed="false"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</row>
    <row r="502" customFormat="false" ht="15.75" hidden="false" customHeight="true" outlineLevel="0" collapsed="false"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</row>
    <row r="503" customFormat="false" ht="15.75" hidden="false" customHeight="true" outlineLevel="0" collapsed="false"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</row>
    <row r="504" customFormat="false" ht="15.75" hidden="false" customHeight="true" outlineLevel="0" collapsed="false"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</row>
    <row r="505" customFormat="false" ht="15.75" hidden="false" customHeight="true" outlineLevel="0" collapsed="false"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</row>
    <row r="506" customFormat="false" ht="15.75" hidden="false" customHeight="true" outlineLevel="0" collapsed="false"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</row>
    <row r="507" customFormat="false" ht="15.75" hidden="false" customHeight="true" outlineLevel="0" collapsed="false"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</row>
    <row r="508" customFormat="false" ht="15.75" hidden="false" customHeight="true" outlineLevel="0" collapsed="false"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</row>
    <row r="509" customFormat="false" ht="15.75" hidden="false" customHeight="true" outlineLevel="0" collapsed="false"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</row>
    <row r="510" customFormat="false" ht="15.75" hidden="false" customHeight="true" outlineLevel="0" collapsed="false"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</row>
    <row r="511" customFormat="false" ht="15.75" hidden="false" customHeight="true" outlineLevel="0" collapsed="false"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</row>
    <row r="512" customFormat="false" ht="15.75" hidden="false" customHeight="true" outlineLevel="0" collapsed="false"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</row>
    <row r="513" customFormat="false" ht="15.75" hidden="false" customHeight="true" outlineLevel="0" collapsed="false"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</row>
    <row r="514" customFormat="false" ht="15.75" hidden="false" customHeight="true" outlineLevel="0" collapsed="false"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</row>
    <row r="515" customFormat="false" ht="15.75" hidden="false" customHeight="true" outlineLevel="0" collapsed="false"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</row>
    <row r="516" customFormat="false" ht="15.75" hidden="false" customHeight="true" outlineLevel="0" collapsed="false"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</row>
    <row r="517" customFormat="false" ht="15.75" hidden="false" customHeight="true" outlineLevel="0" collapsed="false"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</row>
    <row r="518" customFormat="false" ht="15.75" hidden="false" customHeight="true" outlineLevel="0" collapsed="false"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</row>
    <row r="519" customFormat="false" ht="15.75" hidden="false" customHeight="true" outlineLevel="0" collapsed="false"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</row>
    <row r="520" customFormat="false" ht="15.75" hidden="false" customHeight="true" outlineLevel="0" collapsed="false"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</row>
    <row r="521" customFormat="false" ht="15.75" hidden="false" customHeight="true" outlineLevel="0" collapsed="false"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</row>
    <row r="522" customFormat="false" ht="15.75" hidden="false" customHeight="true" outlineLevel="0" collapsed="false"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</row>
    <row r="523" customFormat="false" ht="15.75" hidden="false" customHeight="true" outlineLevel="0" collapsed="false"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</row>
    <row r="524" customFormat="false" ht="15.75" hidden="false" customHeight="true" outlineLevel="0" collapsed="false"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</row>
    <row r="525" customFormat="false" ht="15.75" hidden="false" customHeight="true" outlineLevel="0" collapsed="false"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</row>
    <row r="526" customFormat="false" ht="15.75" hidden="false" customHeight="true" outlineLevel="0" collapsed="false"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</row>
    <row r="527" customFormat="false" ht="15.75" hidden="false" customHeight="true" outlineLevel="0" collapsed="false"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</row>
    <row r="528" customFormat="false" ht="15.75" hidden="false" customHeight="true" outlineLevel="0" collapsed="false"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</row>
    <row r="529" customFormat="false" ht="15.75" hidden="false" customHeight="true" outlineLevel="0" collapsed="false"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</row>
    <row r="530" customFormat="false" ht="15.75" hidden="false" customHeight="true" outlineLevel="0" collapsed="false"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</row>
    <row r="531" customFormat="false" ht="15.75" hidden="false" customHeight="true" outlineLevel="0" collapsed="false"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</row>
    <row r="532" customFormat="false" ht="15.75" hidden="false" customHeight="true" outlineLevel="0" collapsed="false"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</row>
    <row r="533" customFormat="false" ht="15.75" hidden="false" customHeight="true" outlineLevel="0" collapsed="false"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</row>
    <row r="534" customFormat="false" ht="15.75" hidden="false" customHeight="true" outlineLevel="0" collapsed="false"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</row>
    <row r="535" customFormat="false" ht="15.75" hidden="false" customHeight="true" outlineLevel="0" collapsed="false"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</row>
    <row r="536" customFormat="false" ht="15.75" hidden="false" customHeight="true" outlineLevel="0" collapsed="false"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</row>
    <row r="537" customFormat="false" ht="15.75" hidden="false" customHeight="true" outlineLevel="0" collapsed="false"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</row>
    <row r="538" customFormat="false" ht="15.75" hidden="false" customHeight="true" outlineLevel="0" collapsed="false"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</row>
    <row r="539" customFormat="false" ht="15.75" hidden="false" customHeight="true" outlineLevel="0" collapsed="false"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</row>
    <row r="540" customFormat="false" ht="15.75" hidden="false" customHeight="true" outlineLevel="0" collapsed="false"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</row>
    <row r="541" customFormat="false" ht="15.75" hidden="false" customHeight="true" outlineLevel="0" collapsed="false"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</row>
    <row r="542" customFormat="false" ht="15.75" hidden="false" customHeight="true" outlineLevel="0" collapsed="false"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</row>
    <row r="543" customFormat="false" ht="15.75" hidden="false" customHeight="true" outlineLevel="0" collapsed="false"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</row>
    <row r="544" customFormat="false" ht="15.75" hidden="false" customHeight="true" outlineLevel="0" collapsed="false"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</row>
    <row r="545" customFormat="false" ht="15.75" hidden="false" customHeight="true" outlineLevel="0" collapsed="false"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</row>
    <row r="546" customFormat="false" ht="15.75" hidden="false" customHeight="true" outlineLevel="0" collapsed="false"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</row>
    <row r="547" customFormat="false" ht="15.75" hidden="false" customHeight="true" outlineLevel="0" collapsed="false"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</row>
    <row r="548" customFormat="false" ht="15.75" hidden="false" customHeight="true" outlineLevel="0" collapsed="false"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</row>
    <row r="549" customFormat="false" ht="15.75" hidden="false" customHeight="true" outlineLevel="0" collapsed="false"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</row>
    <row r="550" customFormat="false" ht="15.75" hidden="false" customHeight="true" outlineLevel="0" collapsed="false"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</row>
    <row r="551" customFormat="false" ht="15.75" hidden="false" customHeight="true" outlineLevel="0" collapsed="false"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</row>
    <row r="552" customFormat="false" ht="15.75" hidden="false" customHeight="true" outlineLevel="0" collapsed="false"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</row>
    <row r="553" customFormat="false" ht="15.75" hidden="false" customHeight="true" outlineLevel="0" collapsed="false"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</row>
    <row r="554" customFormat="false" ht="15.75" hidden="false" customHeight="true" outlineLevel="0" collapsed="false"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</row>
    <row r="555" customFormat="false" ht="15.75" hidden="false" customHeight="true" outlineLevel="0" collapsed="false"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</row>
    <row r="556" customFormat="false" ht="15.75" hidden="false" customHeight="true" outlineLevel="0" collapsed="false"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</row>
    <row r="557" customFormat="false" ht="15.75" hidden="false" customHeight="true" outlineLevel="0" collapsed="false"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</row>
    <row r="558" customFormat="false" ht="15.75" hidden="false" customHeight="true" outlineLevel="0" collapsed="false"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</row>
    <row r="559" customFormat="false" ht="15.75" hidden="false" customHeight="true" outlineLevel="0" collapsed="false"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</row>
    <row r="560" customFormat="false" ht="15.75" hidden="false" customHeight="true" outlineLevel="0" collapsed="false"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</row>
    <row r="561" customFormat="false" ht="15.75" hidden="false" customHeight="true" outlineLevel="0" collapsed="false"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</row>
    <row r="562" customFormat="false" ht="15.75" hidden="false" customHeight="true" outlineLevel="0" collapsed="false"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</row>
    <row r="563" customFormat="false" ht="15.75" hidden="false" customHeight="true" outlineLevel="0" collapsed="false"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</row>
    <row r="564" customFormat="false" ht="15.75" hidden="false" customHeight="true" outlineLevel="0" collapsed="false"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</row>
    <row r="565" customFormat="false" ht="15.75" hidden="false" customHeight="true" outlineLevel="0" collapsed="false"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</row>
    <row r="566" customFormat="false" ht="15.75" hidden="false" customHeight="true" outlineLevel="0" collapsed="false"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</row>
    <row r="567" customFormat="false" ht="15.75" hidden="false" customHeight="true" outlineLevel="0" collapsed="false"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</row>
    <row r="568" customFormat="false" ht="15.75" hidden="false" customHeight="true" outlineLevel="0" collapsed="false"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</row>
    <row r="569" customFormat="false" ht="15.75" hidden="false" customHeight="true" outlineLevel="0" collapsed="false"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</row>
    <row r="570" customFormat="false" ht="15.75" hidden="false" customHeight="true" outlineLevel="0" collapsed="false"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</row>
    <row r="571" customFormat="false" ht="15.75" hidden="false" customHeight="true" outlineLevel="0" collapsed="false"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</row>
    <row r="572" customFormat="false" ht="15.75" hidden="false" customHeight="true" outlineLevel="0" collapsed="false"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</row>
    <row r="573" customFormat="false" ht="15.75" hidden="false" customHeight="true" outlineLevel="0" collapsed="false"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</row>
    <row r="574" customFormat="false" ht="15.75" hidden="false" customHeight="true" outlineLevel="0" collapsed="false"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</row>
    <row r="575" customFormat="false" ht="15.75" hidden="false" customHeight="true" outlineLevel="0" collapsed="false"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</row>
    <row r="576" customFormat="false" ht="15.75" hidden="false" customHeight="true" outlineLevel="0" collapsed="false"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</row>
    <row r="577" customFormat="false" ht="15.75" hidden="false" customHeight="true" outlineLevel="0" collapsed="false"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</row>
    <row r="578" customFormat="false" ht="15.75" hidden="false" customHeight="true" outlineLevel="0" collapsed="false"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</row>
    <row r="579" customFormat="false" ht="15.75" hidden="false" customHeight="true" outlineLevel="0" collapsed="false"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</row>
    <row r="580" customFormat="false" ht="15.75" hidden="false" customHeight="true" outlineLevel="0" collapsed="false"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</row>
    <row r="581" customFormat="false" ht="15.75" hidden="false" customHeight="true" outlineLevel="0" collapsed="false"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</row>
    <row r="582" customFormat="false" ht="15.75" hidden="false" customHeight="true" outlineLevel="0" collapsed="false"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</row>
    <row r="583" customFormat="false" ht="15.75" hidden="false" customHeight="true" outlineLevel="0" collapsed="false"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</row>
    <row r="584" customFormat="false" ht="15.75" hidden="false" customHeight="true" outlineLevel="0" collapsed="false"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</row>
    <row r="585" customFormat="false" ht="15.75" hidden="false" customHeight="true" outlineLevel="0" collapsed="false"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</row>
    <row r="586" customFormat="false" ht="15.75" hidden="false" customHeight="true" outlineLevel="0" collapsed="false"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</row>
    <row r="587" customFormat="false" ht="15.75" hidden="false" customHeight="true" outlineLevel="0" collapsed="false"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</row>
    <row r="588" customFormat="false" ht="15.75" hidden="false" customHeight="true" outlineLevel="0" collapsed="false"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</row>
    <row r="589" customFormat="false" ht="15.75" hidden="false" customHeight="true" outlineLevel="0" collapsed="false"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</row>
    <row r="590" customFormat="false" ht="15.75" hidden="false" customHeight="true" outlineLevel="0" collapsed="false"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</row>
    <row r="591" customFormat="false" ht="15.75" hidden="false" customHeight="true" outlineLevel="0" collapsed="false"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</row>
    <row r="592" customFormat="false" ht="15.75" hidden="false" customHeight="true" outlineLevel="0" collapsed="false"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</row>
    <row r="593" customFormat="false" ht="15.75" hidden="false" customHeight="true" outlineLevel="0" collapsed="false"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</row>
    <row r="594" customFormat="false" ht="15.75" hidden="false" customHeight="true" outlineLevel="0" collapsed="false"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</row>
    <row r="595" customFormat="false" ht="15.75" hidden="false" customHeight="true" outlineLevel="0" collapsed="false"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</row>
    <row r="596" customFormat="false" ht="15.75" hidden="false" customHeight="true" outlineLevel="0" collapsed="false"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</row>
    <row r="597" customFormat="false" ht="15.75" hidden="false" customHeight="true" outlineLevel="0" collapsed="false"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</row>
    <row r="598" customFormat="false" ht="15.75" hidden="false" customHeight="true" outlineLevel="0" collapsed="false"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</row>
    <row r="599" customFormat="false" ht="15.75" hidden="false" customHeight="true" outlineLevel="0" collapsed="false"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</row>
    <row r="600" customFormat="false" ht="15.75" hidden="false" customHeight="true" outlineLevel="0" collapsed="false"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</row>
    <row r="601" customFormat="false" ht="15.75" hidden="false" customHeight="true" outlineLevel="0" collapsed="false"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</row>
    <row r="602" customFormat="false" ht="15.75" hidden="false" customHeight="true" outlineLevel="0" collapsed="false"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</row>
    <row r="603" customFormat="false" ht="15.75" hidden="false" customHeight="true" outlineLevel="0" collapsed="false"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</row>
    <row r="604" customFormat="false" ht="15.75" hidden="false" customHeight="true" outlineLevel="0" collapsed="false"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</row>
    <row r="605" customFormat="false" ht="15.75" hidden="false" customHeight="true" outlineLevel="0" collapsed="false"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</row>
    <row r="606" customFormat="false" ht="15.75" hidden="false" customHeight="true" outlineLevel="0" collapsed="false"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</row>
    <row r="607" customFormat="false" ht="15.75" hidden="false" customHeight="true" outlineLevel="0" collapsed="false"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</row>
    <row r="608" customFormat="false" ht="15.75" hidden="false" customHeight="true" outlineLevel="0" collapsed="false"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</row>
    <row r="609" customFormat="false" ht="15.75" hidden="false" customHeight="true" outlineLevel="0" collapsed="false"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</row>
    <row r="610" customFormat="false" ht="15.75" hidden="false" customHeight="true" outlineLevel="0" collapsed="false"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</row>
    <row r="611" customFormat="false" ht="15.75" hidden="false" customHeight="true" outlineLevel="0" collapsed="false"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</row>
    <row r="612" customFormat="false" ht="15.75" hidden="false" customHeight="true" outlineLevel="0" collapsed="false"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</row>
    <row r="613" customFormat="false" ht="15.75" hidden="false" customHeight="true" outlineLevel="0" collapsed="false"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</row>
    <row r="614" customFormat="false" ht="15.75" hidden="false" customHeight="true" outlineLevel="0" collapsed="false"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</row>
    <row r="615" customFormat="false" ht="15.75" hidden="false" customHeight="true" outlineLevel="0" collapsed="false"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</row>
    <row r="616" customFormat="false" ht="15.75" hidden="false" customHeight="true" outlineLevel="0" collapsed="false"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</row>
    <row r="617" customFormat="false" ht="15.75" hidden="false" customHeight="true" outlineLevel="0" collapsed="false"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</row>
    <row r="618" customFormat="false" ht="15.75" hidden="false" customHeight="true" outlineLevel="0" collapsed="false"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</row>
    <row r="619" customFormat="false" ht="15.75" hidden="false" customHeight="true" outlineLevel="0" collapsed="false"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</row>
    <row r="620" customFormat="false" ht="15.75" hidden="false" customHeight="true" outlineLevel="0" collapsed="false"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</row>
    <row r="621" customFormat="false" ht="15.75" hidden="false" customHeight="true" outlineLevel="0" collapsed="false"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</row>
    <row r="622" customFormat="false" ht="15.75" hidden="false" customHeight="true" outlineLevel="0" collapsed="false"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</row>
    <row r="623" customFormat="false" ht="15.75" hidden="false" customHeight="true" outlineLevel="0" collapsed="false"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</row>
    <row r="624" customFormat="false" ht="15.75" hidden="false" customHeight="true" outlineLevel="0" collapsed="false"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</row>
    <row r="625" customFormat="false" ht="15.75" hidden="false" customHeight="true" outlineLevel="0" collapsed="false"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</row>
    <row r="626" customFormat="false" ht="15.75" hidden="false" customHeight="true" outlineLevel="0" collapsed="false"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</row>
    <row r="627" customFormat="false" ht="15.75" hidden="false" customHeight="true" outlineLevel="0" collapsed="false"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</row>
    <row r="628" customFormat="false" ht="15.75" hidden="false" customHeight="true" outlineLevel="0" collapsed="false"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</row>
    <row r="629" customFormat="false" ht="15.75" hidden="false" customHeight="true" outlineLevel="0" collapsed="false"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</row>
    <row r="630" customFormat="false" ht="15.75" hidden="false" customHeight="true" outlineLevel="0" collapsed="false"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</row>
    <row r="631" customFormat="false" ht="15.75" hidden="false" customHeight="true" outlineLevel="0" collapsed="false"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</row>
    <row r="632" customFormat="false" ht="15.75" hidden="false" customHeight="true" outlineLevel="0" collapsed="false"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</row>
    <row r="633" customFormat="false" ht="15.75" hidden="false" customHeight="true" outlineLevel="0" collapsed="false"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</row>
    <row r="634" customFormat="false" ht="15.75" hidden="false" customHeight="true" outlineLevel="0" collapsed="false"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</row>
    <row r="635" customFormat="false" ht="15.75" hidden="false" customHeight="true" outlineLevel="0" collapsed="false"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</row>
    <row r="636" customFormat="false" ht="15.75" hidden="false" customHeight="true" outlineLevel="0" collapsed="false"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</row>
    <row r="637" customFormat="false" ht="15.75" hidden="false" customHeight="true" outlineLevel="0" collapsed="false"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</row>
    <row r="638" customFormat="false" ht="15.75" hidden="false" customHeight="true" outlineLevel="0" collapsed="false"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</row>
    <row r="639" customFormat="false" ht="15.75" hidden="false" customHeight="true" outlineLevel="0" collapsed="false"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</row>
    <row r="640" customFormat="false" ht="15.75" hidden="false" customHeight="true" outlineLevel="0" collapsed="false"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</row>
    <row r="641" customFormat="false" ht="15.75" hidden="false" customHeight="true" outlineLevel="0" collapsed="false"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</row>
    <row r="642" customFormat="false" ht="15.75" hidden="false" customHeight="true" outlineLevel="0" collapsed="false"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</row>
    <row r="643" customFormat="false" ht="15.75" hidden="false" customHeight="true" outlineLevel="0" collapsed="false"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</row>
    <row r="644" customFormat="false" ht="15.75" hidden="false" customHeight="true" outlineLevel="0" collapsed="false"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</row>
    <row r="645" customFormat="false" ht="15.75" hidden="false" customHeight="true" outlineLevel="0" collapsed="false"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</row>
    <row r="646" customFormat="false" ht="15.75" hidden="false" customHeight="true" outlineLevel="0" collapsed="false"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</row>
    <row r="647" customFormat="false" ht="15.75" hidden="false" customHeight="true" outlineLevel="0" collapsed="false"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</row>
    <row r="648" customFormat="false" ht="15.75" hidden="false" customHeight="true" outlineLevel="0" collapsed="false"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</row>
    <row r="649" customFormat="false" ht="15.75" hidden="false" customHeight="true" outlineLevel="0" collapsed="false"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</row>
    <row r="650" customFormat="false" ht="15.75" hidden="false" customHeight="true" outlineLevel="0" collapsed="false"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</row>
    <row r="651" customFormat="false" ht="15.75" hidden="false" customHeight="true" outlineLevel="0" collapsed="false"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</row>
    <row r="652" customFormat="false" ht="15.75" hidden="false" customHeight="true" outlineLevel="0" collapsed="false"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</row>
    <row r="653" customFormat="false" ht="15.75" hidden="false" customHeight="true" outlineLevel="0" collapsed="false"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</row>
    <row r="654" customFormat="false" ht="15.75" hidden="false" customHeight="true" outlineLevel="0" collapsed="false"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</row>
    <row r="655" customFormat="false" ht="15.75" hidden="false" customHeight="true" outlineLevel="0" collapsed="false"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</row>
    <row r="656" customFormat="false" ht="15.75" hidden="false" customHeight="true" outlineLevel="0" collapsed="false"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</row>
    <row r="657" customFormat="false" ht="15.75" hidden="false" customHeight="true" outlineLevel="0" collapsed="false"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</row>
    <row r="658" customFormat="false" ht="15.75" hidden="false" customHeight="true" outlineLevel="0" collapsed="false"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</row>
    <row r="659" customFormat="false" ht="15.75" hidden="false" customHeight="true" outlineLevel="0" collapsed="false"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</row>
    <row r="660" customFormat="false" ht="15.75" hidden="false" customHeight="true" outlineLevel="0" collapsed="false"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</row>
    <row r="661" customFormat="false" ht="15.75" hidden="false" customHeight="true" outlineLevel="0" collapsed="false"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</row>
    <row r="662" customFormat="false" ht="15.75" hidden="false" customHeight="true" outlineLevel="0" collapsed="false"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</row>
    <row r="663" customFormat="false" ht="15.75" hidden="false" customHeight="true" outlineLevel="0" collapsed="false"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</row>
    <row r="664" customFormat="false" ht="15.75" hidden="false" customHeight="true" outlineLevel="0" collapsed="false"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</row>
    <row r="665" customFormat="false" ht="15.75" hidden="false" customHeight="true" outlineLevel="0" collapsed="false"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</row>
    <row r="666" customFormat="false" ht="15.75" hidden="false" customHeight="true" outlineLevel="0" collapsed="false"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</row>
    <row r="667" customFormat="false" ht="15.75" hidden="false" customHeight="true" outlineLevel="0" collapsed="false"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</row>
    <row r="668" customFormat="false" ht="15.75" hidden="false" customHeight="true" outlineLevel="0" collapsed="false"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</row>
    <row r="669" customFormat="false" ht="15.75" hidden="false" customHeight="true" outlineLevel="0" collapsed="false"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</row>
    <row r="670" customFormat="false" ht="15.75" hidden="false" customHeight="true" outlineLevel="0" collapsed="false"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</row>
    <row r="671" customFormat="false" ht="15.75" hidden="false" customHeight="true" outlineLevel="0" collapsed="false"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</row>
    <row r="672" customFormat="false" ht="15.75" hidden="false" customHeight="true" outlineLevel="0" collapsed="false"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</row>
    <row r="673" customFormat="false" ht="15.75" hidden="false" customHeight="true" outlineLevel="0" collapsed="false"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</row>
    <row r="674" customFormat="false" ht="15.75" hidden="false" customHeight="true" outlineLevel="0" collapsed="false"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</row>
    <row r="675" customFormat="false" ht="15.75" hidden="false" customHeight="true" outlineLevel="0" collapsed="false"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</row>
    <row r="676" customFormat="false" ht="15.75" hidden="false" customHeight="true" outlineLevel="0" collapsed="false"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</row>
    <row r="677" customFormat="false" ht="15.75" hidden="false" customHeight="true" outlineLevel="0" collapsed="false"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</row>
    <row r="678" customFormat="false" ht="15.75" hidden="false" customHeight="true" outlineLevel="0" collapsed="false"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</row>
    <row r="679" customFormat="false" ht="15.75" hidden="false" customHeight="true" outlineLevel="0" collapsed="false"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</row>
    <row r="680" customFormat="false" ht="15.75" hidden="false" customHeight="true" outlineLevel="0" collapsed="false"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</row>
    <row r="681" customFormat="false" ht="15.75" hidden="false" customHeight="true" outlineLevel="0" collapsed="false"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</row>
    <row r="682" customFormat="false" ht="15.75" hidden="false" customHeight="true" outlineLevel="0" collapsed="false"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</row>
    <row r="683" customFormat="false" ht="15.75" hidden="false" customHeight="true" outlineLevel="0" collapsed="false"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</row>
    <row r="684" customFormat="false" ht="15.75" hidden="false" customHeight="true" outlineLevel="0" collapsed="false"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</row>
    <row r="685" customFormat="false" ht="15.75" hidden="false" customHeight="true" outlineLevel="0" collapsed="false"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</row>
    <row r="686" customFormat="false" ht="15.75" hidden="false" customHeight="true" outlineLevel="0" collapsed="false"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</row>
    <row r="687" customFormat="false" ht="15.75" hidden="false" customHeight="true" outlineLevel="0" collapsed="false"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</row>
    <row r="688" customFormat="false" ht="15.75" hidden="false" customHeight="true" outlineLevel="0" collapsed="false"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</row>
    <row r="689" customFormat="false" ht="15.75" hidden="false" customHeight="true" outlineLevel="0" collapsed="false"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</row>
    <row r="690" customFormat="false" ht="15.75" hidden="false" customHeight="true" outlineLevel="0" collapsed="false"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</row>
    <row r="691" customFormat="false" ht="15.75" hidden="false" customHeight="true" outlineLevel="0" collapsed="false"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</row>
    <row r="692" customFormat="false" ht="15.75" hidden="false" customHeight="true" outlineLevel="0" collapsed="false"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</row>
    <row r="693" customFormat="false" ht="15.75" hidden="false" customHeight="true" outlineLevel="0" collapsed="false"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</row>
    <row r="694" customFormat="false" ht="15.75" hidden="false" customHeight="true" outlineLevel="0" collapsed="false"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</row>
    <row r="695" customFormat="false" ht="15.75" hidden="false" customHeight="true" outlineLevel="0" collapsed="false"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</row>
    <row r="696" customFormat="false" ht="15.75" hidden="false" customHeight="true" outlineLevel="0" collapsed="false"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</row>
    <row r="697" customFormat="false" ht="15.75" hidden="false" customHeight="true" outlineLevel="0" collapsed="false"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</row>
    <row r="698" customFormat="false" ht="15.75" hidden="false" customHeight="true" outlineLevel="0" collapsed="false"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</row>
    <row r="699" customFormat="false" ht="15.75" hidden="false" customHeight="true" outlineLevel="0" collapsed="false"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</row>
    <row r="700" customFormat="false" ht="15.75" hidden="false" customHeight="true" outlineLevel="0" collapsed="false"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</row>
    <row r="701" customFormat="false" ht="15.75" hidden="false" customHeight="true" outlineLevel="0" collapsed="false"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</row>
    <row r="702" customFormat="false" ht="15.75" hidden="false" customHeight="true" outlineLevel="0" collapsed="false"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</row>
    <row r="703" customFormat="false" ht="15.75" hidden="false" customHeight="true" outlineLevel="0" collapsed="false"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</row>
    <row r="704" customFormat="false" ht="15.75" hidden="false" customHeight="true" outlineLevel="0" collapsed="false"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</row>
    <row r="705" customFormat="false" ht="15.75" hidden="false" customHeight="true" outlineLevel="0" collapsed="false"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</row>
    <row r="706" customFormat="false" ht="15.75" hidden="false" customHeight="true" outlineLevel="0" collapsed="false"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</row>
    <row r="707" customFormat="false" ht="15.75" hidden="false" customHeight="true" outlineLevel="0" collapsed="false"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</row>
    <row r="708" customFormat="false" ht="15.75" hidden="false" customHeight="true" outlineLevel="0" collapsed="false"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</row>
    <row r="709" customFormat="false" ht="15.75" hidden="false" customHeight="true" outlineLevel="0" collapsed="false"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</row>
    <row r="710" customFormat="false" ht="15.75" hidden="false" customHeight="true" outlineLevel="0" collapsed="false"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</row>
    <row r="711" customFormat="false" ht="15.75" hidden="false" customHeight="true" outlineLevel="0" collapsed="false"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</row>
    <row r="712" customFormat="false" ht="15.75" hidden="false" customHeight="true" outlineLevel="0" collapsed="false"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</row>
    <row r="713" customFormat="false" ht="15.75" hidden="false" customHeight="true" outlineLevel="0" collapsed="false"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</row>
    <row r="714" customFormat="false" ht="15.75" hidden="false" customHeight="true" outlineLevel="0" collapsed="false"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</row>
    <row r="715" customFormat="false" ht="15.75" hidden="false" customHeight="true" outlineLevel="0" collapsed="false"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</row>
    <row r="716" customFormat="false" ht="15.75" hidden="false" customHeight="true" outlineLevel="0" collapsed="false"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</row>
    <row r="717" customFormat="false" ht="15.75" hidden="false" customHeight="true" outlineLevel="0" collapsed="false"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</row>
    <row r="718" customFormat="false" ht="15.75" hidden="false" customHeight="true" outlineLevel="0" collapsed="false"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</row>
    <row r="719" customFormat="false" ht="15.75" hidden="false" customHeight="true" outlineLevel="0" collapsed="false"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</row>
    <row r="720" customFormat="false" ht="15.75" hidden="false" customHeight="true" outlineLevel="0" collapsed="false"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</row>
    <row r="721" customFormat="false" ht="15.75" hidden="false" customHeight="true" outlineLevel="0" collapsed="false"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</row>
    <row r="722" customFormat="false" ht="15.75" hidden="false" customHeight="true" outlineLevel="0" collapsed="false"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</row>
    <row r="723" customFormat="false" ht="15.75" hidden="false" customHeight="true" outlineLevel="0" collapsed="false"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</row>
    <row r="724" customFormat="false" ht="15.75" hidden="false" customHeight="true" outlineLevel="0" collapsed="false"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</row>
    <row r="725" customFormat="false" ht="15.75" hidden="false" customHeight="true" outlineLevel="0" collapsed="false"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</row>
    <row r="726" customFormat="false" ht="15.75" hidden="false" customHeight="true" outlineLevel="0" collapsed="false"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</row>
    <row r="727" customFormat="false" ht="15.75" hidden="false" customHeight="true" outlineLevel="0" collapsed="false"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</row>
    <row r="728" customFormat="false" ht="15.75" hidden="false" customHeight="true" outlineLevel="0" collapsed="false"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</row>
    <row r="729" customFormat="false" ht="15.75" hidden="false" customHeight="true" outlineLevel="0" collapsed="false"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</row>
    <row r="730" customFormat="false" ht="15.75" hidden="false" customHeight="true" outlineLevel="0" collapsed="false"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</row>
    <row r="731" customFormat="false" ht="15.75" hidden="false" customHeight="true" outlineLevel="0" collapsed="false"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</row>
    <row r="732" customFormat="false" ht="15.75" hidden="false" customHeight="true" outlineLevel="0" collapsed="false"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</row>
    <row r="733" customFormat="false" ht="15.75" hidden="false" customHeight="true" outlineLevel="0" collapsed="false"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</row>
    <row r="734" customFormat="false" ht="15.75" hidden="false" customHeight="true" outlineLevel="0" collapsed="false"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</row>
    <row r="735" customFormat="false" ht="15.75" hidden="false" customHeight="true" outlineLevel="0" collapsed="false"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</row>
    <row r="736" customFormat="false" ht="15.75" hidden="false" customHeight="true" outlineLevel="0" collapsed="false"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</row>
    <row r="737" customFormat="false" ht="15.75" hidden="false" customHeight="true" outlineLevel="0" collapsed="false"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</row>
    <row r="738" customFormat="false" ht="15.75" hidden="false" customHeight="true" outlineLevel="0" collapsed="false"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</row>
    <row r="739" customFormat="false" ht="15.75" hidden="false" customHeight="true" outlineLevel="0" collapsed="false"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</row>
    <row r="740" customFormat="false" ht="15.75" hidden="false" customHeight="true" outlineLevel="0" collapsed="false"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</row>
    <row r="741" customFormat="false" ht="15.75" hidden="false" customHeight="true" outlineLevel="0" collapsed="false"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</row>
    <row r="742" customFormat="false" ht="15.75" hidden="false" customHeight="true" outlineLevel="0" collapsed="false"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</row>
    <row r="743" customFormat="false" ht="15.75" hidden="false" customHeight="true" outlineLevel="0" collapsed="false"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</row>
    <row r="744" customFormat="false" ht="15.75" hidden="false" customHeight="true" outlineLevel="0" collapsed="false"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</row>
    <row r="745" customFormat="false" ht="15.75" hidden="false" customHeight="true" outlineLevel="0" collapsed="false"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</row>
    <row r="746" customFormat="false" ht="15.75" hidden="false" customHeight="true" outlineLevel="0" collapsed="false"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</row>
    <row r="747" customFormat="false" ht="15.75" hidden="false" customHeight="true" outlineLevel="0" collapsed="false"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</row>
    <row r="748" customFormat="false" ht="15.75" hidden="false" customHeight="true" outlineLevel="0" collapsed="false"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</row>
    <row r="749" customFormat="false" ht="15.75" hidden="false" customHeight="true" outlineLevel="0" collapsed="false"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</row>
    <row r="750" customFormat="false" ht="15.75" hidden="false" customHeight="true" outlineLevel="0" collapsed="false"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</row>
    <row r="751" customFormat="false" ht="15.75" hidden="false" customHeight="true" outlineLevel="0" collapsed="false"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</row>
    <row r="752" customFormat="false" ht="15.75" hidden="false" customHeight="true" outlineLevel="0" collapsed="false"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</row>
    <row r="753" customFormat="false" ht="15.75" hidden="false" customHeight="true" outlineLevel="0" collapsed="false"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</row>
    <row r="754" customFormat="false" ht="15.75" hidden="false" customHeight="true" outlineLevel="0" collapsed="false"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</row>
    <row r="755" customFormat="false" ht="15.75" hidden="false" customHeight="true" outlineLevel="0" collapsed="false"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</row>
    <row r="756" customFormat="false" ht="15.75" hidden="false" customHeight="true" outlineLevel="0" collapsed="false"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</row>
    <row r="757" customFormat="false" ht="15.75" hidden="false" customHeight="true" outlineLevel="0" collapsed="false"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</row>
    <row r="758" customFormat="false" ht="15.75" hidden="false" customHeight="true" outlineLevel="0" collapsed="false"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</row>
    <row r="759" customFormat="false" ht="15.75" hidden="false" customHeight="true" outlineLevel="0" collapsed="false"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</row>
    <row r="760" customFormat="false" ht="15.75" hidden="false" customHeight="true" outlineLevel="0" collapsed="false"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</row>
    <row r="761" customFormat="false" ht="15.75" hidden="false" customHeight="true" outlineLevel="0" collapsed="false"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</row>
    <row r="762" customFormat="false" ht="15.75" hidden="false" customHeight="true" outlineLevel="0" collapsed="false"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</row>
    <row r="763" customFormat="false" ht="15.75" hidden="false" customHeight="true" outlineLevel="0" collapsed="false"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</row>
    <row r="764" customFormat="false" ht="15.75" hidden="false" customHeight="true" outlineLevel="0" collapsed="false"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</row>
    <row r="765" customFormat="false" ht="15.75" hidden="false" customHeight="true" outlineLevel="0" collapsed="false"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</row>
    <row r="766" customFormat="false" ht="15.75" hidden="false" customHeight="true" outlineLevel="0" collapsed="false"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</row>
    <row r="767" customFormat="false" ht="15.75" hidden="false" customHeight="true" outlineLevel="0" collapsed="false"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</row>
    <row r="768" customFormat="false" ht="15.75" hidden="false" customHeight="true" outlineLevel="0" collapsed="false"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</row>
    <row r="769" customFormat="false" ht="15.75" hidden="false" customHeight="true" outlineLevel="0" collapsed="false"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</row>
    <row r="770" customFormat="false" ht="15.75" hidden="false" customHeight="true" outlineLevel="0" collapsed="false"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</row>
    <row r="771" customFormat="false" ht="15.75" hidden="false" customHeight="true" outlineLevel="0" collapsed="false"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</row>
    <row r="772" customFormat="false" ht="15.75" hidden="false" customHeight="true" outlineLevel="0" collapsed="false"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</row>
    <row r="773" customFormat="false" ht="15.75" hidden="false" customHeight="true" outlineLevel="0" collapsed="false"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</row>
    <row r="774" customFormat="false" ht="15.75" hidden="false" customHeight="true" outlineLevel="0" collapsed="false"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</row>
    <row r="775" customFormat="false" ht="15.75" hidden="false" customHeight="true" outlineLevel="0" collapsed="false"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</row>
    <row r="776" customFormat="false" ht="15.75" hidden="false" customHeight="true" outlineLevel="0" collapsed="false"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</row>
    <row r="777" customFormat="false" ht="15.75" hidden="false" customHeight="true" outlineLevel="0" collapsed="false"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</row>
    <row r="778" customFormat="false" ht="15.75" hidden="false" customHeight="true" outlineLevel="0" collapsed="false"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</row>
    <row r="779" customFormat="false" ht="15.75" hidden="false" customHeight="true" outlineLevel="0" collapsed="false"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</row>
    <row r="780" customFormat="false" ht="15.75" hidden="false" customHeight="true" outlineLevel="0" collapsed="false"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</row>
    <row r="781" customFormat="false" ht="15.75" hidden="false" customHeight="true" outlineLevel="0" collapsed="false"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</row>
    <row r="782" customFormat="false" ht="15.75" hidden="false" customHeight="true" outlineLevel="0" collapsed="false"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</row>
    <row r="783" customFormat="false" ht="15.75" hidden="false" customHeight="true" outlineLevel="0" collapsed="false"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</row>
    <row r="784" customFormat="false" ht="15.75" hidden="false" customHeight="true" outlineLevel="0" collapsed="false"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</row>
    <row r="785" customFormat="false" ht="15.75" hidden="false" customHeight="true" outlineLevel="0" collapsed="false"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</row>
    <row r="786" customFormat="false" ht="15.75" hidden="false" customHeight="true" outlineLevel="0" collapsed="false"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</row>
    <row r="787" customFormat="false" ht="15.75" hidden="false" customHeight="true" outlineLevel="0" collapsed="false"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</row>
    <row r="788" customFormat="false" ht="15.75" hidden="false" customHeight="true" outlineLevel="0" collapsed="false"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</row>
    <row r="789" customFormat="false" ht="15.75" hidden="false" customHeight="true" outlineLevel="0" collapsed="false"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</row>
    <row r="790" customFormat="false" ht="15.75" hidden="false" customHeight="true" outlineLevel="0" collapsed="false"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</row>
    <row r="791" customFormat="false" ht="15.75" hidden="false" customHeight="true" outlineLevel="0" collapsed="false"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</row>
    <row r="792" customFormat="false" ht="15.75" hidden="false" customHeight="true" outlineLevel="0" collapsed="false"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</row>
    <row r="793" customFormat="false" ht="15.75" hidden="false" customHeight="true" outlineLevel="0" collapsed="false"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</row>
    <row r="794" customFormat="false" ht="15.75" hidden="false" customHeight="true" outlineLevel="0" collapsed="false"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</row>
    <row r="795" customFormat="false" ht="15.75" hidden="false" customHeight="true" outlineLevel="0" collapsed="false"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</row>
    <row r="796" customFormat="false" ht="15.75" hidden="false" customHeight="true" outlineLevel="0" collapsed="false"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</row>
    <row r="797" customFormat="false" ht="15.75" hidden="false" customHeight="true" outlineLevel="0" collapsed="false"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</row>
    <row r="798" customFormat="false" ht="15.75" hidden="false" customHeight="true" outlineLevel="0" collapsed="false"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</row>
    <row r="799" customFormat="false" ht="15.75" hidden="false" customHeight="true" outlineLevel="0" collapsed="false"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</row>
    <row r="800" customFormat="false" ht="15.75" hidden="false" customHeight="true" outlineLevel="0" collapsed="false"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</row>
    <row r="801" customFormat="false" ht="15.75" hidden="false" customHeight="true" outlineLevel="0" collapsed="false"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</row>
    <row r="802" customFormat="false" ht="15.75" hidden="false" customHeight="true" outlineLevel="0" collapsed="false"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</row>
    <row r="803" customFormat="false" ht="15.75" hidden="false" customHeight="true" outlineLevel="0" collapsed="false"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</row>
    <row r="804" customFormat="false" ht="15.75" hidden="false" customHeight="true" outlineLevel="0" collapsed="false"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</row>
    <row r="805" customFormat="false" ht="15.75" hidden="false" customHeight="true" outlineLevel="0" collapsed="false"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</row>
    <row r="806" customFormat="false" ht="15.75" hidden="false" customHeight="true" outlineLevel="0" collapsed="false"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</row>
    <row r="807" customFormat="false" ht="15.75" hidden="false" customHeight="true" outlineLevel="0" collapsed="false"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</row>
    <row r="808" customFormat="false" ht="15.75" hidden="false" customHeight="true" outlineLevel="0" collapsed="false"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</row>
    <row r="809" customFormat="false" ht="15.75" hidden="false" customHeight="true" outlineLevel="0" collapsed="false"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</row>
    <row r="810" customFormat="false" ht="15.75" hidden="false" customHeight="true" outlineLevel="0" collapsed="false"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</row>
    <row r="811" customFormat="false" ht="15.75" hidden="false" customHeight="true" outlineLevel="0" collapsed="false"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</row>
    <row r="812" customFormat="false" ht="15.75" hidden="false" customHeight="true" outlineLevel="0" collapsed="false"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</row>
    <row r="813" customFormat="false" ht="15.75" hidden="false" customHeight="true" outlineLevel="0" collapsed="false"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</row>
    <row r="814" customFormat="false" ht="15.75" hidden="false" customHeight="true" outlineLevel="0" collapsed="false"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</row>
    <row r="815" customFormat="false" ht="15.75" hidden="false" customHeight="true" outlineLevel="0" collapsed="false"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</row>
    <row r="816" customFormat="false" ht="15.75" hidden="false" customHeight="true" outlineLevel="0" collapsed="false"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</row>
    <row r="817" customFormat="false" ht="15.75" hidden="false" customHeight="true" outlineLevel="0" collapsed="false"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</row>
    <row r="818" customFormat="false" ht="15.75" hidden="false" customHeight="true" outlineLevel="0" collapsed="false"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</row>
    <row r="819" customFormat="false" ht="15.75" hidden="false" customHeight="true" outlineLevel="0" collapsed="false"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</row>
    <row r="820" customFormat="false" ht="15.75" hidden="false" customHeight="true" outlineLevel="0" collapsed="false"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</row>
    <row r="821" customFormat="false" ht="15.75" hidden="false" customHeight="true" outlineLevel="0" collapsed="false"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</row>
    <row r="822" customFormat="false" ht="15.75" hidden="false" customHeight="true" outlineLevel="0" collapsed="false"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</row>
    <row r="823" customFormat="false" ht="15.75" hidden="false" customHeight="true" outlineLevel="0" collapsed="false"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</row>
    <row r="824" customFormat="false" ht="15.75" hidden="false" customHeight="true" outlineLevel="0" collapsed="false"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</row>
    <row r="825" customFormat="false" ht="15.75" hidden="false" customHeight="true" outlineLevel="0" collapsed="false"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</row>
    <row r="826" customFormat="false" ht="15.75" hidden="false" customHeight="true" outlineLevel="0" collapsed="false"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</row>
    <row r="827" customFormat="false" ht="15.75" hidden="false" customHeight="true" outlineLevel="0" collapsed="false"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</row>
    <row r="828" customFormat="false" ht="15.75" hidden="false" customHeight="true" outlineLevel="0" collapsed="false"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</row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</sheetData>
  <autoFilter ref="A30:Y93"/>
  <mergeCells count="8">
    <mergeCell ref="A1:B1"/>
    <mergeCell ref="D1:N11"/>
    <mergeCell ref="E13:L13"/>
    <mergeCell ref="E14:F14"/>
    <mergeCell ref="G14:G22"/>
    <mergeCell ref="H14:I14"/>
    <mergeCell ref="J14:J22"/>
    <mergeCell ref="K14:L14"/>
  </mergeCells>
  <printOptions headings="false" gridLines="false" gridLinesSet="true" horizontalCentered="true" verticalCentered="false"/>
  <pageMargins left="0" right="0" top="0.104166666666667" bottom="0" header="0.511811023622047" footer="0.511811023622047"/>
  <pageSetup paperSize="9" scale="3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2025-04-07T08:01:28Z</dcterms:created>
  <dc:creator>Ian Matu</dc:creator>
  <dc:description/>
  <dc:language>en-US</dc:language>
  <cp:lastModifiedBy/>
  <dcterms:modified xsi:type="dcterms:W3CDTF">2026-06-11T17:12:22Z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